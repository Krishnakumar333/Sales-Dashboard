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hidePivotFieldList="1"/>
  <mc:AlternateContent xmlns:mc="http://schemas.openxmlformats.org/markup-compatibility/2006">
    <mc:Choice Requires="x15">
      <x15ac:absPath xmlns:x15ac="http://schemas.microsoft.com/office/spreadsheetml/2010/11/ac" url="https://d.docs.live.net/2859952189748f20/ドキュメント/PowerBI Projects/"/>
    </mc:Choice>
  </mc:AlternateContent>
  <xr:revisionPtr revIDLastSave="13" documentId="8_{AD4E0CD3-E0EA-497A-AA7C-DB259B6A1018}" xr6:coauthVersionLast="47" xr6:coauthVersionMax="47" xr10:uidLastSave="{E823D2E0-372D-4323-9837-70C6A96D0085}"/>
  <bookViews>
    <workbookView xWindow="-108" yWindow="-108" windowWidth="23256" windowHeight="12456" firstSheet="1" activeTab="1" xr2:uid="{C0893FBD-34B3-420E-B0D6-EC330180DDEA}"/>
  </bookViews>
  <sheets>
    <sheet name="Pivot Table" sheetId="4" state="hidden" r:id="rId1"/>
    <sheet name="DashBoard" sheetId="5" r:id="rId2"/>
    <sheet name="SalesData" sheetId="3" state="hidden" r:id="rId3"/>
  </sheets>
  <definedNames>
    <definedName name="Slicer_Product">#N/A</definedName>
    <definedName name="Slicer_Region">#N/A</definedName>
    <definedName name="Slicer_Sales_Person">#N/A</definedName>
  </definedNames>
  <calcPr calcId="191029"/>
  <pivotCaches>
    <pivotCache cacheId="6"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3" l="1"/>
  <c r="L5" i="3"/>
  <c r="L3" i="3"/>
  <c r="L1"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2" i="3"/>
  <c r="G51" i="3"/>
  <c r="F51" i="3"/>
  <c r="H51" i="3" s="1"/>
  <c r="G50" i="3"/>
  <c r="F50" i="3"/>
  <c r="H50" i="3" s="1"/>
  <c r="G49" i="3"/>
  <c r="F49" i="3"/>
  <c r="H49" i="3" s="1"/>
  <c r="G48" i="3"/>
  <c r="F48" i="3"/>
  <c r="H48" i="3" s="1"/>
  <c r="G47" i="3"/>
  <c r="F47" i="3"/>
  <c r="H47" i="3" s="1"/>
  <c r="G46" i="3"/>
  <c r="F46" i="3"/>
  <c r="H46" i="3" s="1"/>
  <c r="G45" i="3"/>
  <c r="F45" i="3"/>
  <c r="H45" i="3" s="1"/>
  <c r="G44" i="3"/>
  <c r="F44" i="3"/>
  <c r="H44" i="3" s="1"/>
  <c r="G43" i="3"/>
  <c r="F43" i="3"/>
  <c r="H43" i="3" s="1"/>
  <c r="G42" i="3"/>
  <c r="F42" i="3"/>
  <c r="H42" i="3" s="1"/>
  <c r="G41" i="3"/>
  <c r="F41" i="3"/>
  <c r="H41" i="3" s="1"/>
  <c r="G40" i="3"/>
  <c r="F40" i="3"/>
  <c r="H40" i="3" s="1"/>
  <c r="G39" i="3"/>
  <c r="F39" i="3"/>
  <c r="H39" i="3" s="1"/>
  <c r="G38" i="3"/>
  <c r="F38" i="3"/>
  <c r="H38" i="3" s="1"/>
  <c r="G37" i="3"/>
  <c r="F37" i="3"/>
  <c r="H37" i="3" s="1"/>
  <c r="G36" i="3"/>
  <c r="F36" i="3"/>
  <c r="H36" i="3" s="1"/>
  <c r="G35" i="3"/>
  <c r="F35" i="3"/>
  <c r="H35" i="3" s="1"/>
  <c r="G34" i="3"/>
  <c r="F34" i="3"/>
  <c r="H34" i="3" s="1"/>
  <c r="G33" i="3"/>
  <c r="F33" i="3"/>
  <c r="H33" i="3" s="1"/>
  <c r="G32" i="3"/>
  <c r="F32" i="3"/>
  <c r="H32" i="3" s="1"/>
  <c r="G31" i="3"/>
  <c r="F31" i="3"/>
  <c r="H31" i="3" s="1"/>
  <c r="G30" i="3"/>
  <c r="F30" i="3"/>
  <c r="H30" i="3" s="1"/>
  <c r="G29" i="3"/>
  <c r="F29" i="3"/>
  <c r="H29" i="3" s="1"/>
  <c r="G28" i="3"/>
  <c r="F28" i="3"/>
  <c r="H28" i="3" s="1"/>
  <c r="G27" i="3"/>
  <c r="F27" i="3"/>
  <c r="H27" i="3" s="1"/>
  <c r="G26" i="3"/>
  <c r="F26" i="3"/>
  <c r="H26" i="3" s="1"/>
  <c r="G25" i="3"/>
  <c r="F25" i="3"/>
  <c r="H25" i="3" s="1"/>
  <c r="G24" i="3"/>
  <c r="F24" i="3"/>
  <c r="H24" i="3" s="1"/>
  <c r="G23" i="3"/>
  <c r="F23" i="3"/>
  <c r="H23" i="3" s="1"/>
  <c r="G22" i="3"/>
  <c r="F22" i="3"/>
  <c r="H22" i="3" s="1"/>
  <c r="G21" i="3"/>
  <c r="F21" i="3"/>
  <c r="H21" i="3" s="1"/>
  <c r="G20" i="3"/>
  <c r="F20" i="3"/>
  <c r="H20" i="3" s="1"/>
  <c r="G19" i="3"/>
  <c r="F19" i="3"/>
  <c r="H19" i="3" s="1"/>
  <c r="G18" i="3"/>
  <c r="F18" i="3"/>
  <c r="H18" i="3" s="1"/>
  <c r="G17" i="3"/>
  <c r="F17" i="3"/>
  <c r="H17" i="3" s="1"/>
  <c r="G16" i="3"/>
  <c r="F16" i="3"/>
  <c r="H16" i="3" s="1"/>
  <c r="G15" i="3"/>
  <c r="F15" i="3"/>
  <c r="H15" i="3" s="1"/>
  <c r="G14" i="3"/>
  <c r="F14" i="3"/>
  <c r="H14" i="3" s="1"/>
  <c r="G13" i="3"/>
  <c r="F13" i="3"/>
  <c r="H13" i="3" s="1"/>
  <c r="G12" i="3"/>
  <c r="F12" i="3"/>
  <c r="H12" i="3" s="1"/>
  <c r="G11" i="3"/>
  <c r="F11" i="3"/>
  <c r="H11" i="3" s="1"/>
  <c r="G10" i="3"/>
  <c r="F10" i="3"/>
  <c r="H10" i="3" s="1"/>
  <c r="G9" i="3"/>
  <c r="F9" i="3"/>
  <c r="H9" i="3" s="1"/>
  <c r="G8" i="3"/>
  <c r="F8" i="3"/>
  <c r="H8" i="3" s="1"/>
  <c r="G7" i="3"/>
  <c r="F7" i="3"/>
  <c r="H7" i="3" s="1"/>
  <c r="G6" i="3"/>
  <c r="F6" i="3"/>
  <c r="H6" i="3" s="1"/>
  <c r="G5" i="3"/>
  <c r="F5" i="3"/>
  <c r="H5" i="3" s="1"/>
  <c r="G4" i="3"/>
  <c r="F4" i="3"/>
  <c r="H4" i="3" s="1"/>
  <c r="G3" i="3"/>
  <c r="F3" i="3"/>
  <c r="H3" i="3" s="1"/>
  <c r="G2" i="3"/>
  <c r="F2" i="3"/>
  <c r="H2" i="3" s="1"/>
</calcChain>
</file>

<file path=xl/sharedStrings.xml><?xml version="1.0" encoding="utf-8"?>
<sst xmlns="http://schemas.openxmlformats.org/spreadsheetml/2006/main" count="203" uniqueCount="37">
  <si>
    <t>Date</t>
  </si>
  <si>
    <t>Sales Person</t>
  </si>
  <si>
    <t>Region</t>
  </si>
  <si>
    <t>Product</t>
  </si>
  <si>
    <t>Units Sold</t>
  </si>
  <si>
    <t>Unit Price</t>
  </si>
  <si>
    <t>Cost of Goods</t>
  </si>
  <si>
    <t>Total Sales</t>
  </si>
  <si>
    <t>Andrew</t>
  </si>
  <si>
    <t>West</t>
  </si>
  <si>
    <t>Tent</t>
  </si>
  <si>
    <t>Grace</t>
  </si>
  <si>
    <t>East</t>
  </si>
  <si>
    <t>Blender</t>
  </si>
  <si>
    <t>Ella</t>
  </si>
  <si>
    <t>South</t>
  </si>
  <si>
    <t>Action Figure</t>
  </si>
  <si>
    <t>Cameron</t>
  </si>
  <si>
    <t>North</t>
  </si>
  <si>
    <t>Novel</t>
  </si>
  <si>
    <t>Megan</t>
  </si>
  <si>
    <t>Sneakers</t>
  </si>
  <si>
    <t>Carolyn</t>
  </si>
  <si>
    <t>Virginia</t>
  </si>
  <si>
    <t>Connor</t>
  </si>
  <si>
    <t>Anna</t>
  </si>
  <si>
    <t>Moisturizer</t>
  </si>
  <si>
    <t>Nicholas</t>
  </si>
  <si>
    <t>Smartphone</t>
  </si>
  <si>
    <t>Grand Total</t>
  </si>
  <si>
    <t>Total Unit Sold</t>
  </si>
  <si>
    <t>Total Profit</t>
  </si>
  <si>
    <t>Profit</t>
  </si>
  <si>
    <t>Average Sales</t>
  </si>
  <si>
    <t>Row Labels</t>
  </si>
  <si>
    <t>Sum of Total Sales</t>
  </si>
  <si>
    <t>Sum of Units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</si>
</sst>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2" formatCode="_ &quot;₹&quot;\ * #,##0_ ;_ &quot;₹&quot;\ * \-#,##0_ ;_ &quot;₹&quot;\ * &quot;-&quot;_ ;_ @_ "/>
    <numFmt numFmtId="164" formatCode="_ &quot;Rs.&quot;\ * #,##0_ ;_ &quot;Rs.&quot;\ * \-#,##0_ ;_ &quot;Rs.&quot;\ * &quot;-&quot;_ ;_ @_ "/>
    <numFmt numFmtId="165" formatCode="&quot;Rs.&quot;\ * ##\.##,\ &quot;L&quot;"/>
  </numFmts>
  <fonts count="4" x14ac:knownFonts="1">
    <font>
      <sz val="11"/>
      <color theme="1"/>
      <name val="Aptos Narrow"/>
      <family val="2"/>
      <scheme val="minor"/>
    </font>
    <font>
      <sz val="11"/>
      <color theme="1"/>
      <name val="Aptos Narrow"/>
      <family val="2"/>
      <scheme val="minor"/>
    </font>
    <font>
      <sz val="11"/>
      <color theme="0"/>
      <name val="Aptos Narrow"/>
      <family val="2"/>
      <scheme val="minor"/>
    </font>
    <font>
      <b/>
      <sz val="20"/>
      <color theme="1"/>
      <name val="Aptos Narrow"/>
      <family val="2"/>
      <scheme val="minor"/>
    </font>
  </fonts>
  <fills count="4">
    <fill>
      <patternFill patternType="none"/>
    </fill>
    <fill>
      <patternFill patternType="gray125"/>
    </fill>
    <fill>
      <patternFill patternType="solid">
        <fgColor rgb="FF002060"/>
        <bgColor indexed="64"/>
      </patternFill>
    </fill>
    <fill>
      <patternFill patternType="solid">
        <fgColor theme="1" tint="0.499984740745262"/>
        <bgColor indexed="64"/>
      </patternFill>
    </fill>
  </fills>
  <borders count="2">
    <border>
      <left/>
      <right/>
      <top/>
      <bottom/>
      <diagonal/>
    </border>
    <border>
      <left/>
      <right/>
      <top/>
      <bottom style="thick">
        <color rgb="FFFFC000"/>
      </bottom>
      <diagonal/>
    </border>
  </borders>
  <cellStyleXfs count="2">
    <xf numFmtId="0" fontId="0" fillId="0" borderId="0"/>
    <xf numFmtId="164" fontId="1" fillId="0" borderId="0" applyFont="0" applyFill="0" applyBorder="0" applyAlignment="0" applyProtection="0"/>
  </cellStyleXfs>
  <cellXfs count="10">
    <xf numFmtId="0" fontId="0" fillId="0" borderId="0" xfId="0"/>
    <xf numFmtId="0" fontId="2" fillId="2" borderId="1" xfId="0" applyFont="1" applyFill="1" applyBorder="1" applyAlignment="1">
      <alignment horizontal="center" vertical="center"/>
    </xf>
    <xf numFmtId="14" fontId="0" fillId="0" borderId="0" xfId="0" applyNumberFormat="1" applyAlignment="1">
      <alignment horizontal="center"/>
    </xf>
    <xf numFmtId="0" fontId="0" fillId="0" borderId="0" xfId="0" applyAlignment="1">
      <alignment horizontal="left"/>
    </xf>
    <xf numFmtId="164" fontId="0" fillId="0" borderId="0" xfId="1" applyFont="1"/>
    <xf numFmtId="0" fontId="0" fillId="0" borderId="0" xfId="0" pivotButton="1"/>
    <xf numFmtId="0" fontId="0" fillId="0" borderId="0" xfId="0" applyNumberFormat="1"/>
    <xf numFmtId="165" fontId="0" fillId="0" borderId="0" xfId="0" applyNumberFormat="1"/>
    <xf numFmtId="42" fontId="0" fillId="0" borderId="0" xfId="0" applyNumberFormat="1"/>
    <xf numFmtId="0" fontId="0" fillId="3" borderId="0" xfId="0" applyFill="1"/>
  </cellXfs>
  <cellStyles count="2">
    <cellStyle name="Currency [0]" xfId="1" builtinId="7"/>
    <cellStyle name="Normal" xfId="0" builtinId="0"/>
  </cellStyles>
  <dxfs count="9">
    <dxf>
      <font>
        <b val="0"/>
        <i val="0"/>
        <strike val="0"/>
        <condense val="0"/>
        <extend val="0"/>
        <outline val="0"/>
        <shadow val="0"/>
        <u val="none"/>
        <vertAlign val="baseline"/>
        <sz val="11"/>
        <color theme="0"/>
        <name val="Aptos Narrow"/>
        <family val="2"/>
        <scheme val="minor"/>
      </font>
      <fill>
        <patternFill patternType="solid">
          <fgColor indexed="64"/>
          <bgColor rgb="FF00206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alignment horizontal="left" vertical="bottom" textRotation="0" wrapText="0" indent="0" justifyLastLine="0" shrinkToFit="0" readingOrder="0"/>
    </dxf>
    <dxf>
      <numFmt numFmtId="19" formatCode="dd/mm/yyyy"/>
      <alignment horizontal="center" vertical="bottom" textRotation="0" wrapText="0" indent="0" justifyLastLine="0" shrinkToFit="0" readingOrder="0"/>
    </dxf>
    <dxf>
      <border outline="0">
        <bottom style="thick">
          <color rgb="FFFFC000"/>
        </bottom>
      </border>
    </dxf>
  </dxfs>
  <tableStyles count="1" defaultTableStyle="TableStyleMedium2" defaultPivotStyle="PivotStyleLight16">
    <tableStyle name="Invisible" pivot="0" table="0" count="0" xr9:uid="{BDFCBA0C-0FAD-47E9-B8E0-311E6D449765}"/>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Table!PivotTable7</c:name>
    <c:fmtId val="18"/>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5875" cap="rnd">
            <a:solidFill>
              <a:schemeClr val="accent1"/>
            </a:solidFill>
            <a:round/>
          </a:ln>
          <a:effectLst>
            <a:outerShdw blurRad="57150" dist="19050" dir="5400000" algn="ctr" rotWithShape="0">
              <a:srgbClr val="000000">
                <a:alpha val="63000"/>
              </a:srgbClr>
            </a:outerShdw>
          </a:effectLst>
        </c:spPr>
        <c:marker>
          <c:symbol val="square"/>
          <c:size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alpha val="93000"/>
                </a:schemeClr>
              </a:solidFill>
              <a:round/>
            </a:ln>
            <a:effectLst>
              <a:outerShdw blurRad="57150" dist="19050" dir="5400000" algn="ctr" rotWithShape="0">
                <a:srgbClr val="000000">
                  <a:alpha val="63000"/>
                </a:srgbClr>
              </a:outerShdw>
            </a:effectLst>
          </c:spPr>
        </c:marker>
        <c:dLbl>
          <c:idx val="0"/>
          <c:spPr>
            <a:solidFill>
              <a:schemeClr val="accent1">
                <a:lumMod val="40000"/>
                <a:lumOff val="60000"/>
                <a:alpha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5875" cap="rnd">
            <a:solidFill>
              <a:schemeClr val="accent1"/>
            </a:solidFill>
            <a:round/>
          </a:ln>
          <a:effectLst>
            <a:outerShdw blurRad="57150" dist="19050" dir="5400000" algn="ctr" rotWithShape="0">
              <a:srgbClr val="000000">
                <a:alpha val="63000"/>
              </a:srgbClr>
            </a:outerShdw>
          </a:effectLst>
        </c:spPr>
        <c:marker>
          <c:symbol val="square"/>
          <c:size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alpha val="93000"/>
                </a:schemeClr>
              </a:solidFill>
              <a:round/>
            </a:ln>
            <a:effectLst>
              <a:outerShdw blurRad="57150" dist="19050" dir="5400000" algn="ctr" rotWithShape="0">
                <a:srgbClr val="000000">
                  <a:alpha val="63000"/>
                </a:srgbClr>
              </a:outerShdw>
            </a:effectLst>
          </c:spPr>
        </c:marker>
        <c:dLbl>
          <c:idx val="0"/>
          <c:spPr>
            <a:solidFill>
              <a:schemeClr val="accent1">
                <a:lumMod val="40000"/>
                <a:lumOff val="60000"/>
                <a:alpha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15875" cap="rnd">
            <a:solidFill>
              <a:schemeClr val="accent1"/>
            </a:solidFill>
            <a:round/>
          </a:ln>
          <a:effectLst>
            <a:outerShdw blurRad="57150" dist="19050" dir="5400000" algn="ctr" rotWithShape="0">
              <a:srgbClr val="000000">
                <a:alpha val="63000"/>
              </a:srgbClr>
            </a:outerShdw>
          </a:effectLst>
        </c:spPr>
        <c:marker>
          <c:symbol val="square"/>
          <c:size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alpha val="93000"/>
                </a:schemeClr>
              </a:solidFill>
              <a:round/>
            </a:ln>
            <a:effectLst>
              <a:outerShdw blurRad="57150" dist="19050" dir="5400000" algn="ctr" rotWithShape="0">
                <a:srgbClr val="000000">
                  <a:alpha val="63000"/>
                </a:srgbClr>
              </a:outerShdw>
            </a:effectLst>
          </c:spPr>
        </c:marker>
        <c:dLbl>
          <c:idx val="0"/>
          <c:spPr>
            <a:solidFill>
              <a:schemeClr val="accent1">
                <a:lumMod val="40000"/>
                <a:lumOff val="60000"/>
                <a:alpha val="6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721501087079815E-2"/>
          <c:y val="4.4871798989758183E-2"/>
          <c:w val="0.97627849891292018"/>
          <c:h val="0.85328945297518977"/>
        </c:manualLayout>
      </c:layout>
      <c:lineChart>
        <c:grouping val="standard"/>
        <c:varyColors val="0"/>
        <c:ser>
          <c:idx val="0"/>
          <c:order val="0"/>
          <c:tx>
            <c:strRef>
              <c:f>'Pivot Table'!$K$3</c:f>
              <c:strCache>
                <c:ptCount val="1"/>
                <c:pt idx="0">
                  <c:v>Total</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alpha val="93000"/>
                  </a:schemeClr>
                </a:solidFill>
                <a:round/>
              </a:ln>
              <a:effectLst>
                <a:outerShdw blurRad="57150" dist="19050" dir="5400000" algn="ctr" rotWithShape="0">
                  <a:srgbClr val="000000">
                    <a:alpha val="63000"/>
                  </a:srgbClr>
                </a:outerShdw>
              </a:effectLst>
            </c:spPr>
          </c:marker>
          <c:dLbls>
            <c:spPr>
              <a:solidFill>
                <a:schemeClr val="accent1">
                  <a:lumMod val="40000"/>
                  <a:lumOff val="60000"/>
                  <a:alpha val="6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Table'!$J$4:$J$11</c:f>
              <c:strCache>
                <c:ptCount val="7"/>
                <c:pt idx="0">
                  <c:v>Action Figure</c:v>
                </c:pt>
                <c:pt idx="1">
                  <c:v>Blender</c:v>
                </c:pt>
                <c:pt idx="2">
                  <c:v>Moisturizer</c:v>
                </c:pt>
                <c:pt idx="3">
                  <c:v>Novel</c:v>
                </c:pt>
                <c:pt idx="4">
                  <c:v>Smartphone</c:v>
                </c:pt>
                <c:pt idx="5">
                  <c:v>Sneakers</c:v>
                </c:pt>
                <c:pt idx="6">
                  <c:v>Tent</c:v>
                </c:pt>
              </c:strCache>
            </c:strRef>
          </c:cat>
          <c:val>
            <c:numRef>
              <c:f>'Pivot Table'!$K$4:$K$11</c:f>
              <c:numCache>
                <c:formatCode>General</c:formatCode>
                <c:ptCount val="7"/>
                <c:pt idx="0">
                  <c:v>456</c:v>
                </c:pt>
                <c:pt idx="1">
                  <c:v>635</c:v>
                </c:pt>
                <c:pt idx="2">
                  <c:v>1178</c:v>
                </c:pt>
                <c:pt idx="3">
                  <c:v>898</c:v>
                </c:pt>
                <c:pt idx="4">
                  <c:v>235</c:v>
                </c:pt>
                <c:pt idx="5">
                  <c:v>799</c:v>
                </c:pt>
                <c:pt idx="6">
                  <c:v>504</c:v>
                </c:pt>
              </c:numCache>
            </c:numRef>
          </c:val>
          <c:smooth val="0"/>
          <c:extLst>
            <c:ext xmlns:c16="http://schemas.microsoft.com/office/drawing/2014/chart" uri="{C3380CC4-5D6E-409C-BE32-E72D297353CC}">
              <c16:uniqueId val="{00000000-6547-4884-9DFD-353C9079D40F}"/>
            </c:ext>
          </c:extLst>
        </c:ser>
        <c:dLbls>
          <c:dLblPos val="t"/>
          <c:showLegendKey val="0"/>
          <c:showVal val="1"/>
          <c:showCatName val="0"/>
          <c:showSerName val="0"/>
          <c:showPercent val="0"/>
          <c:showBubbleSize val="0"/>
        </c:dLbls>
        <c:marker val="1"/>
        <c:smooth val="0"/>
        <c:axId val="1193813520"/>
        <c:axId val="1193812560"/>
      </c:lineChart>
      <c:catAx>
        <c:axId val="1193813520"/>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en-US"/>
          </a:p>
        </c:txPr>
        <c:crossAx val="1193812560"/>
        <c:crosses val="autoZero"/>
        <c:auto val="1"/>
        <c:lblAlgn val="ctr"/>
        <c:lblOffset val="100"/>
        <c:noMultiLvlLbl val="0"/>
      </c:catAx>
      <c:valAx>
        <c:axId val="1193812560"/>
        <c:scaling>
          <c:orientation val="minMax"/>
        </c:scaling>
        <c:delete val="1"/>
        <c:axPos val="l"/>
        <c:numFmt formatCode="General" sourceLinked="1"/>
        <c:majorTickMark val="out"/>
        <c:minorTickMark val="none"/>
        <c:tickLblPos val="nextTo"/>
        <c:crossAx val="119381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3611111111111102"/>
              <c:y val="4.629629629629638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0277777777777768"/>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9.1666666666666716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3055555555555559"/>
              <c:y val="4.166666666666658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0277777777777768"/>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3611111111111102"/>
              <c:y val="4.629629629629638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3055555555555559"/>
              <c:y val="4.166666666666658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9.1666666666666716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0277777777777768"/>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3611111111111102"/>
              <c:y val="4.629629629629638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3055555555555559"/>
              <c:y val="4.1666666666666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9.1666666666666716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920720924294669"/>
          <c:y val="6.6400043665009442E-2"/>
          <c:w val="0.44519911804153156"/>
          <c:h val="0.77331686152375967"/>
        </c:manualLayout>
      </c:layout>
      <c:doughnutChart>
        <c:varyColors val="1"/>
        <c:ser>
          <c:idx val="0"/>
          <c:order val="0"/>
          <c:tx>
            <c:strRef>
              <c:f>'Pivot Table'!$B$3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97-4E63-80E5-9ACE4F3E571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97-4E63-80E5-9ACE4F3E571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697-4E63-80E5-9ACE4F3E571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697-4E63-80E5-9ACE4F3E571D}"/>
              </c:ext>
            </c:extLst>
          </c:dPt>
          <c:dLbls>
            <c:dLbl>
              <c:idx val="0"/>
              <c:layout>
                <c:manualLayout>
                  <c:x val="0.10277777777777768"/>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97-4E63-80E5-9ACE4F3E571D}"/>
                </c:ext>
              </c:extLst>
            </c:dLbl>
            <c:dLbl>
              <c:idx val="1"/>
              <c:layout>
                <c:manualLayout>
                  <c:x val="0.13611111111111102"/>
                  <c:y val="4.62962962962963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97-4E63-80E5-9ACE4F3E571D}"/>
                </c:ext>
              </c:extLst>
            </c:dLbl>
            <c:dLbl>
              <c:idx val="2"/>
              <c:layout>
                <c:manualLayout>
                  <c:x val="-0.13055555555555559"/>
                  <c:y val="4.1666666666666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697-4E63-80E5-9ACE4F3E571D}"/>
                </c:ext>
              </c:extLst>
            </c:dLbl>
            <c:dLbl>
              <c:idx val="3"/>
              <c:layout>
                <c:manualLayout>
                  <c:x val="-9.1666666666666716E-2"/>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697-4E63-80E5-9ACE4F3E571D}"/>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Table'!$A$4:$A$8</c:f>
              <c:strCache>
                <c:ptCount val="4"/>
                <c:pt idx="0">
                  <c:v>East</c:v>
                </c:pt>
                <c:pt idx="1">
                  <c:v>North</c:v>
                </c:pt>
                <c:pt idx="2">
                  <c:v>South</c:v>
                </c:pt>
                <c:pt idx="3">
                  <c:v>West</c:v>
                </c:pt>
              </c:strCache>
            </c:strRef>
          </c:cat>
          <c:val>
            <c:numRef>
              <c:f>'Pivot Table'!$B$4:$B$8</c:f>
              <c:numCache>
                <c:formatCode>"Rs."\ * ##\.##,\ "L"</c:formatCode>
                <c:ptCount val="4"/>
                <c:pt idx="0">
                  <c:v>3534400</c:v>
                </c:pt>
                <c:pt idx="1">
                  <c:v>2661400</c:v>
                </c:pt>
                <c:pt idx="2">
                  <c:v>2870600</c:v>
                </c:pt>
                <c:pt idx="3">
                  <c:v>3878100</c:v>
                </c:pt>
              </c:numCache>
            </c:numRef>
          </c:val>
          <c:extLst>
            <c:ext xmlns:c16="http://schemas.microsoft.com/office/drawing/2014/chart" uri="{C3380CC4-5D6E-409C-BE32-E72D297353CC}">
              <c16:uniqueId val="{00000008-A697-4E63-80E5-9ACE4F3E571D}"/>
            </c:ext>
          </c:extLst>
        </c:ser>
        <c:dLbls>
          <c:showLegendKey val="0"/>
          <c:showVal val="1"/>
          <c:showCatName val="0"/>
          <c:showSerName val="0"/>
          <c:showPercent val="0"/>
          <c:showBubbleSize val="0"/>
          <c:showLeaderLines val="1"/>
        </c:dLbls>
        <c:firstSliceAng val="0"/>
        <c:holeSize val="58"/>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Table!PivotTable5</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00436875358007"/>
          <c:y val="5.0925925925925923E-2"/>
          <c:w val="0.78142125556780972"/>
          <c:h val="0.89814814814814814"/>
        </c:manualLayout>
      </c:layout>
      <c:barChart>
        <c:barDir val="bar"/>
        <c:grouping val="clustered"/>
        <c:varyColors val="0"/>
        <c:ser>
          <c:idx val="0"/>
          <c:order val="0"/>
          <c:tx>
            <c:strRef>
              <c:f>'Pivot Table'!$E$3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Table'!$D$4:$D$11</c:f>
              <c:strCache>
                <c:ptCount val="7"/>
                <c:pt idx="0">
                  <c:v>Action Figure</c:v>
                </c:pt>
                <c:pt idx="1">
                  <c:v>Blender</c:v>
                </c:pt>
                <c:pt idx="2">
                  <c:v>Moisturizer</c:v>
                </c:pt>
                <c:pt idx="3">
                  <c:v>Novel</c:v>
                </c:pt>
                <c:pt idx="4">
                  <c:v>Smartphone</c:v>
                </c:pt>
                <c:pt idx="5">
                  <c:v>Sneakers</c:v>
                </c:pt>
                <c:pt idx="6">
                  <c:v>Tent</c:v>
                </c:pt>
              </c:strCache>
            </c:strRef>
          </c:cat>
          <c:val>
            <c:numRef>
              <c:f>'Pivot Table'!$E$4:$E$11</c:f>
              <c:numCache>
                <c:formatCode>"Rs."\ * ##\.##,\ "L"</c:formatCode>
                <c:ptCount val="7"/>
                <c:pt idx="0">
                  <c:v>547200</c:v>
                </c:pt>
                <c:pt idx="1">
                  <c:v>2222500</c:v>
                </c:pt>
                <c:pt idx="2">
                  <c:v>706800</c:v>
                </c:pt>
                <c:pt idx="3">
                  <c:v>898000</c:v>
                </c:pt>
                <c:pt idx="4">
                  <c:v>2350000</c:v>
                </c:pt>
                <c:pt idx="5">
                  <c:v>3196000</c:v>
                </c:pt>
                <c:pt idx="6">
                  <c:v>3024000</c:v>
                </c:pt>
              </c:numCache>
            </c:numRef>
          </c:val>
          <c:extLst>
            <c:ext xmlns:c16="http://schemas.microsoft.com/office/drawing/2014/chart" uri="{C3380CC4-5D6E-409C-BE32-E72D297353CC}">
              <c16:uniqueId val="{00000000-B034-49FB-B74D-077106BFDF53}"/>
            </c:ext>
          </c:extLst>
        </c:ser>
        <c:dLbls>
          <c:dLblPos val="outEnd"/>
          <c:showLegendKey val="0"/>
          <c:showVal val="1"/>
          <c:showCatName val="0"/>
          <c:showSerName val="0"/>
          <c:showPercent val="0"/>
          <c:showBubbleSize val="0"/>
        </c:dLbls>
        <c:gapWidth val="55"/>
        <c:axId val="1185798208"/>
        <c:axId val="1185792448"/>
      </c:barChart>
      <c:catAx>
        <c:axId val="1185798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85792448"/>
        <c:crosses val="autoZero"/>
        <c:auto val="1"/>
        <c:lblAlgn val="ctr"/>
        <c:lblOffset val="100"/>
        <c:noMultiLvlLbl val="0"/>
      </c:catAx>
      <c:valAx>
        <c:axId val="1185792448"/>
        <c:scaling>
          <c:orientation val="minMax"/>
        </c:scaling>
        <c:delete val="1"/>
        <c:axPos val="b"/>
        <c:numFmt formatCode="&quot;Rs.&quot;\ * ##\.##,\ &quot;L&quot;" sourceLinked="1"/>
        <c:majorTickMark val="none"/>
        <c:minorTickMark val="none"/>
        <c:tickLblPos val="nextTo"/>
        <c:crossAx val="1185798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244181315469656E-2"/>
          <c:y val="1.8610095710882735E-2"/>
          <c:w val="0.92562054269020322"/>
          <c:h val="0.84002618262166384"/>
        </c:manualLayout>
      </c:layout>
      <c:barChart>
        <c:barDir val="col"/>
        <c:grouping val="clustered"/>
        <c:varyColors val="0"/>
        <c:ser>
          <c:idx val="0"/>
          <c:order val="0"/>
          <c:tx>
            <c:strRef>
              <c:f>'Pivot Table'!$H$3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Table'!$G$4:$G$14</c:f>
              <c:strCache>
                <c:ptCount val="10"/>
                <c:pt idx="0">
                  <c:v>Andrew</c:v>
                </c:pt>
                <c:pt idx="1">
                  <c:v>Anna</c:v>
                </c:pt>
                <c:pt idx="2">
                  <c:v>Cameron</c:v>
                </c:pt>
                <c:pt idx="3">
                  <c:v>Carolyn</c:v>
                </c:pt>
                <c:pt idx="4">
                  <c:v>Connor</c:v>
                </c:pt>
                <c:pt idx="5">
                  <c:v>Ella</c:v>
                </c:pt>
                <c:pt idx="6">
                  <c:v>Grace</c:v>
                </c:pt>
                <c:pt idx="7">
                  <c:v>Megan</c:v>
                </c:pt>
                <c:pt idx="8">
                  <c:v>Nicholas</c:v>
                </c:pt>
                <c:pt idx="9">
                  <c:v>Virginia</c:v>
                </c:pt>
              </c:strCache>
            </c:strRef>
          </c:cat>
          <c:val>
            <c:numRef>
              <c:f>'Pivot Table'!$H$4:$H$14</c:f>
              <c:numCache>
                <c:formatCode>"Rs."\ * ##\.##,\ "L"</c:formatCode>
                <c:ptCount val="10"/>
                <c:pt idx="0">
                  <c:v>1591600</c:v>
                </c:pt>
                <c:pt idx="1">
                  <c:v>677600</c:v>
                </c:pt>
                <c:pt idx="2">
                  <c:v>1957000</c:v>
                </c:pt>
                <c:pt idx="3">
                  <c:v>1661400</c:v>
                </c:pt>
                <c:pt idx="4">
                  <c:v>1741200</c:v>
                </c:pt>
                <c:pt idx="5">
                  <c:v>1110000</c:v>
                </c:pt>
                <c:pt idx="6">
                  <c:v>1777400</c:v>
                </c:pt>
                <c:pt idx="7">
                  <c:v>1065400</c:v>
                </c:pt>
                <c:pt idx="8">
                  <c:v>784400</c:v>
                </c:pt>
                <c:pt idx="9">
                  <c:v>578500</c:v>
                </c:pt>
              </c:numCache>
            </c:numRef>
          </c:val>
          <c:extLst>
            <c:ext xmlns:c16="http://schemas.microsoft.com/office/drawing/2014/chart" uri="{C3380CC4-5D6E-409C-BE32-E72D297353CC}">
              <c16:uniqueId val="{00000000-4DA1-490B-9964-D655FC27D241}"/>
            </c:ext>
          </c:extLst>
        </c:ser>
        <c:dLbls>
          <c:dLblPos val="outEnd"/>
          <c:showLegendKey val="0"/>
          <c:showVal val="1"/>
          <c:showCatName val="0"/>
          <c:showSerName val="0"/>
          <c:showPercent val="0"/>
          <c:showBubbleSize val="0"/>
        </c:dLbls>
        <c:gapWidth val="83"/>
        <c:overlap val="-27"/>
        <c:axId val="1185797248"/>
        <c:axId val="1185794848"/>
      </c:barChart>
      <c:catAx>
        <c:axId val="1185797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85794848"/>
        <c:crosses val="autoZero"/>
        <c:auto val="1"/>
        <c:lblAlgn val="ctr"/>
        <c:lblOffset val="100"/>
        <c:noMultiLvlLbl val="0"/>
      </c:catAx>
      <c:valAx>
        <c:axId val="1185794848"/>
        <c:scaling>
          <c:orientation val="minMax"/>
        </c:scaling>
        <c:delete val="1"/>
        <c:axPos val="l"/>
        <c:numFmt formatCode="&quot;Rs.&quot;\ * ##\.##,\ &quot;L&quot;" sourceLinked="1"/>
        <c:majorTickMark val="out"/>
        <c:minorTickMark val="none"/>
        <c:tickLblPos val="nextTo"/>
        <c:crossAx val="1185797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13251</xdr:rowOff>
    </xdr:from>
    <xdr:to>
      <xdr:col>26</xdr:col>
      <xdr:colOff>591670</xdr:colOff>
      <xdr:row>4</xdr:row>
      <xdr:rowOff>106329</xdr:rowOff>
    </xdr:to>
    <xdr:sp macro="" textlink="">
      <xdr:nvSpPr>
        <xdr:cNvPr id="2" name="Rectangle: Rounded Corners 1">
          <a:extLst>
            <a:ext uri="{FF2B5EF4-FFF2-40B4-BE49-F238E27FC236}">
              <a16:creationId xmlns:a16="http://schemas.microsoft.com/office/drawing/2014/main" id="{45BA8EF2-B695-894D-C9F2-C9B23A4F4CB6}"/>
            </a:ext>
          </a:extLst>
        </xdr:cNvPr>
        <xdr:cNvSpPr/>
      </xdr:nvSpPr>
      <xdr:spPr>
        <a:xfrm>
          <a:off x="0" y="13251"/>
          <a:ext cx="16441270" cy="810254"/>
        </a:xfrm>
        <a:prstGeom prst="roundRect">
          <a:avLst>
            <a:gd name="adj" fmla="val 23412"/>
          </a:avLst>
        </a:prstGeom>
        <a:solidFill>
          <a:schemeClr val="bg1">
            <a:lumMod val="75000"/>
          </a:schemeClr>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5</xdr:row>
      <xdr:rowOff>25681</xdr:rowOff>
    </xdr:from>
    <xdr:to>
      <xdr:col>5</xdr:col>
      <xdr:colOff>172278</xdr:colOff>
      <xdr:row>10</xdr:row>
      <xdr:rowOff>92766</xdr:rowOff>
    </xdr:to>
    <xdr:grpSp>
      <xdr:nvGrpSpPr>
        <xdr:cNvPr id="7" name="Group 6">
          <a:extLst>
            <a:ext uri="{FF2B5EF4-FFF2-40B4-BE49-F238E27FC236}">
              <a16:creationId xmlns:a16="http://schemas.microsoft.com/office/drawing/2014/main" id="{4F7243D4-8B68-A496-F630-A16F24CB406C}"/>
            </a:ext>
          </a:extLst>
        </xdr:cNvPr>
        <xdr:cNvGrpSpPr/>
      </xdr:nvGrpSpPr>
      <xdr:grpSpPr>
        <a:xfrm>
          <a:off x="0" y="950967"/>
          <a:ext cx="3220278" cy="992370"/>
          <a:chOff x="0" y="953333"/>
          <a:chExt cx="2847592" cy="935310"/>
        </a:xfrm>
      </xdr:grpSpPr>
      <xdr:sp macro="" textlink="">
        <xdr:nvSpPr>
          <xdr:cNvPr id="3" name="Rectangle: Rounded Corners 2">
            <a:extLst>
              <a:ext uri="{FF2B5EF4-FFF2-40B4-BE49-F238E27FC236}">
                <a16:creationId xmlns:a16="http://schemas.microsoft.com/office/drawing/2014/main" id="{8774756A-58C3-4D12-8D40-ADAD1C999170}"/>
              </a:ext>
            </a:extLst>
          </xdr:cNvPr>
          <xdr:cNvSpPr/>
        </xdr:nvSpPr>
        <xdr:spPr>
          <a:xfrm>
            <a:off x="5715" y="953333"/>
            <a:ext cx="2841877" cy="921023"/>
          </a:xfrm>
          <a:prstGeom prst="roundRect">
            <a:avLst>
              <a:gd name="adj" fmla="val 23412"/>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4AA485BE-2EDA-453C-83D3-8E96EED92BB1}"/>
              </a:ext>
            </a:extLst>
          </xdr:cNvPr>
          <xdr:cNvSpPr/>
        </xdr:nvSpPr>
        <xdr:spPr>
          <a:xfrm>
            <a:off x="0" y="959048"/>
            <a:ext cx="1089819" cy="929595"/>
          </a:xfrm>
          <a:prstGeom prst="roundRect">
            <a:avLst>
              <a:gd name="adj" fmla="val 23412"/>
            </a:avLst>
          </a:prstGeom>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TextBox 4">
            <a:extLst>
              <a:ext uri="{FF2B5EF4-FFF2-40B4-BE49-F238E27FC236}">
                <a16:creationId xmlns:a16="http://schemas.microsoft.com/office/drawing/2014/main" id="{6D8ADFDC-D22D-9F9E-2F59-9BB7EBB3EC97}"/>
              </a:ext>
            </a:extLst>
          </xdr:cNvPr>
          <xdr:cNvSpPr txBox="1"/>
        </xdr:nvSpPr>
        <xdr:spPr>
          <a:xfrm>
            <a:off x="1272208" y="1091539"/>
            <a:ext cx="1487495" cy="221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latin typeface="Arial" panose="020B0604020202020204" pitchFamily="34" charset="0"/>
                <a:cs typeface="Arial" panose="020B0604020202020204" pitchFamily="34" charset="0"/>
              </a:rPr>
              <a:t>  </a:t>
            </a:r>
            <a:r>
              <a:rPr lang="en-IN" sz="1100" b="1">
                <a:solidFill>
                  <a:schemeClr val="accent1">
                    <a:lumMod val="50000"/>
                  </a:schemeClr>
                </a:solidFill>
                <a:latin typeface="Arial" panose="020B0604020202020204" pitchFamily="34" charset="0"/>
                <a:cs typeface="Arial" panose="020B0604020202020204" pitchFamily="34" charset="0"/>
              </a:rPr>
              <a:t>TOTAL SALES</a:t>
            </a:r>
          </a:p>
        </xdr:txBody>
      </xdr:sp>
      <xdr:sp macro="" textlink="SalesData!L1">
        <xdr:nvSpPr>
          <xdr:cNvPr id="6" name="TextBox 5">
            <a:extLst>
              <a:ext uri="{FF2B5EF4-FFF2-40B4-BE49-F238E27FC236}">
                <a16:creationId xmlns:a16="http://schemas.microsoft.com/office/drawing/2014/main" id="{45596089-5505-ADF3-D8D5-842E7DFDF486}"/>
              </a:ext>
            </a:extLst>
          </xdr:cNvPr>
          <xdr:cNvSpPr txBox="1"/>
        </xdr:nvSpPr>
        <xdr:spPr>
          <a:xfrm>
            <a:off x="1331843" y="1316562"/>
            <a:ext cx="1334113" cy="336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0BDE59-A5A0-40D1-B5BE-D3CBEE0226A0}" type="TxLink">
              <a:rPr lang="en-US" sz="1800" b="1" i="0" u="none" strike="noStrike">
                <a:solidFill>
                  <a:schemeClr val="accent1">
                    <a:lumMod val="50000"/>
                  </a:schemeClr>
                </a:solidFill>
                <a:latin typeface="Aptos Narrow"/>
              </a:rPr>
              <a:pPr algn="ctr"/>
              <a:t> ₹ 1,29,44,500 </a:t>
            </a:fld>
            <a:endParaRPr lang="en-IN" sz="1800" b="1">
              <a:solidFill>
                <a:schemeClr val="accent1">
                  <a:lumMod val="50000"/>
                </a:schemeClr>
              </a:solidFill>
            </a:endParaRPr>
          </a:p>
        </xdr:txBody>
      </xdr:sp>
    </xdr:grpSp>
    <xdr:clientData/>
  </xdr:twoCellAnchor>
  <xdr:twoCellAnchor>
    <xdr:from>
      <xdr:col>5</xdr:col>
      <xdr:colOff>457200</xdr:colOff>
      <xdr:row>5</xdr:row>
      <xdr:rowOff>25681</xdr:rowOff>
    </xdr:from>
    <xdr:to>
      <xdr:col>11</xdr:col>
      <xdr:colOff>19878</xdr:colOff>
      <xdr:row>10</xdr:row>
      <xdr:rowOff>92766</xdr:rowOff>
    </xdr:to>
    <xdr:grpSp>
      <xdr:nvGrpSpPr>
        <xdr:cNvPr id="8" name="Group 7">
          <a:extLst>
            <a:ext uri="{FF2B5EF4-FFF2-40B4-BE49-F238E27FC236}">
              <a16:creationId xmlns:a16="http://schemas.microsoft.com/office/drawing/2014/main" id="{FA10E3EE-1076-BE19-6C9C-175FEF5620DC}"/>
            </a:ext>
          </a:extLst>
        </xdr:cNvPr>
        <xdr:cNvGrpSpPr/>
      </xdr:nvGrpSpPr>
      <xdr:grpSpPr>
        <a:xfrm>
          <a:off x="3505200" y="950967"/>
          <a:ext cx="3220278" cy="992370"/>
          <a:chOff x="0" y="953333"/>
          <a:chExt cx="2847592" cy="935310"/>
        </a:xfrm>
      </xdr:grpSpPr>
      <xdr:sp macro="" textlink="">
        <xdr:nvSpPr>
          <xdr:cNvPr id="9" name="Rectangle: Rounded Corners 8">
            <a:extLst>
              <a:ext uri="{FF2B5EF4-FFF2-40B4-BE49-F238E27FC236}">
                <a16:creationId xmlns:a16="http://schemas.microsoft.com/office/drawing/2014/main" id="{C1E78008-D52C-C1F2-B3DE-5F3CCD9F0B20}"/>
              </a:ext>
            </a:extLst>
          </xdr:cNvPr>
          <xdr:cNvSpPr/>
        </xdr:nvSpPr>
        <xdr:spPr>
          <a:xfrm>
            <a:off x="5715" y="953333"/>
            <a:ext cx="2841877" cy="921023"/>
          </a:xfrm>
          <a:prstGeom prst="roundRect">
            <a:avLst>
              <a:gd name="adj" fmla="val 23412"/>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397FD18E-1AF6-44A3-E998-E909EEA3ED23}"/>
              </a:ext>
            </a:extLst>
          </xdr:cNvPr>
          <xdr:cNvSpPr/>
        </xdr:nvSpPr>
        <xdr:spPr>
          <a:xfrm>
            <a:off x="0" y="959048"/>
            <a:ext cx="1089819" cy="929595"/>
          </a:xfrm>
          <a:prstGeom prst="roundRect">
            <a:avLst>
              <a:gd name="adj" fmla="val 23412"/>
            </a:avLst>
          </a:prstGeom>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TextBox 10">
            <a:extLst>
              <a:ext uri="{FF2B5EF4-FFF2-40B4-BE49-F238E27FC236}">
                <a16:creationId xmlns:a16="http://schemas.microsoft.com/office/drawing/2014/main" id="{C2374A7C-58C7-96BA-3E4A-9C918D3C5DA5}"/>
              </a:ext>
            </a:extLst>
          </xdr:cNvPr>
          <xdr:cNvSpPr txBox="1"/>
        </xdr:nvSpPr>
        <xdr:spPr>
          <a:xfrm>
            <a:off x="1272208" y="1091539"/>
            <a:ext cx="1487495" cy="221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accent1">
                    <a:lumMod val="50000"/>
                  </a:schemeClr>
                </a:solidFill>
                <a:latin typeface="Arial" panose="020B0604020202020204" pitchFamily="34" charset="0"/>
                <a:cs typeface="Arial" panose="020B0604020202020204" pitchFamily="34" charset="0"/>
              </a:rPr>
              <a:t>AVERAGE SALES</a:t>
            </a:r>
          </a:p>
        </xdr:txBody>
      </xdr:sp>
      <xdr:sp macro="" textlink="SalesData!L7">
        <xdr:nvSpPr>
          <xdr:cNvPr id="12" name="TextBox 11">
            <a:extLst>
              <a:ext uri="{FF2B5EF4-FFF2-40B4-BE49-F238E27FC236}">
                <a16:creationId xmlns:a16="http://schemas.microsoft.com/office/drawing/2014/main" id="{D5A65460-EF7F-7378-F728-E85F12F783D6}"/>
              </a:ext>
            </a:extLst>
          </xdr:cNvPr>
          <xdr:cNvSpPr txBox="1"/>
        </xdr:nvSpPr>
        <xdr:spPr>
          <a:xfrm>
            <a:off x="1331843" y="1316562"/>
            <a:ext cx="1334113" cy="336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771059E-93E1-4601-AB19-B79CC2BFE06D}" type="TxLink">
              <a:rPr lang="en-US" sz="1800" b="1" i="0" u="none" strike="noStrike">
                <a:solidFill>
                  <a:schemeClr val="accent1">
                    <a:lumMod val="50000"/>
                  </a:schemeClr>
                </a:solidFill>
                <a:latin typeface="Aptos Narrow"/>
              </a:rPr>
              <a:t> ₹ 2,58,890 </a:t>
            </a:fld>
            <a:endParaRPr lang="en-IN" sz="1800" b="1">
              <a:solidFill>
                <a:schemeClr val="accent1">
                  <a:lumMod val="50000"/>
                </a:schemeClr>
              </a:solidFill>
            </a:endParaRPr>
          </a:p>
        </xdr:txBody>
      </xdr:sp>
    </xdr:grpSp>
    <xdr:clientData/>
  </xdr:twoCellAnchor>
  <xdr:twoCellAnchor>
    <xdr:from>
      <xdr:col>11</xdr:col>
      <xdr:colOff>139148</xdr:colOff>
      <xdr:row>5</xdr:row>
      <xdr:rowOff>25681</xdr:rowOff>
    </xdr:from>
    <xdr:to>
      <xdr:col>16</xdr:col>
      <xdr:colOff>311426</xdr:colOff>
      <xdr:row>10</xdr:row>
      <xdr:rowOff>92766</xdr:rowOff>
    </xdr:to>
    <xdr:grpSp>
      <xdr:nvGrpSpPr>
        <xdr:cNvPr id="13" name="Group 12">
          <a:extLst>
            <a:ext uri="{FF2B5EF4-FFF2-40B4-BE49-F238E27FC236}">
              <a16:creationId xmlns:a16="http://schemas.microsoft.com/office/drawing/2014/main" id="{4D14CD76-BD8F-93A3-53A4-90D47C14189E}"/>
            </a:ext>
          </a:extLst>
        </xdr:cNvPr>
        <xdr:cNvGrpSpPr/>
      </xdr:nvGrpSpPr>
      <xdr:grpSpPr>
        <a:xfrm>
          <a:off x="6844748" y="950967"/>
          <a:ext cx="3220278" cy="992370"/>
          <a:chOff x="0" y="953333"/>
          <a:chExt cx="2847592" cy="935310"/>
        </a:xfrm>
      </xdr:grpSpPr>
      <xdr:sp macro="" textlink="">
        <xdr:nvSpPr>
          <xdr:cNvPr id="14" name="Rectangle: Rounded Corners 13">
            <a:extLst>
              <a:ext uri="{FF2B5EF4-FFF2-40B4-BE49-F238E27FC236}">
                <a16:creationId xmlns:a16="http://schemas.microsoft.com/office/drawing/2014/main" id="{AE4CF39A-D7EC-DF4A-947A-E7CFCD542D37}"/>
              </a:ext>
            </a:extLst>
          </xdr:cNvPr>
          <xdr:cNvSpPr/>
        </xdr:nvSpPr>
        <xdr:spPr>
          <a:xfrm>
            <a:off x="5715" y="953333"/>
            <a:ext cx="2841877" cy="921023"/>
          </a:xfrm>
          <a:prstGeom prst="roundRect">
            <a:avLst>
              <a:gd name="adj" fmla="val 23412"/>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034F9A47-D47D-0AD1-7AE8-4FF8F73330CF}"/>
              </a:ext>
            </a:extLst>
          </xdr:cNvPr>
          <xdr:cNvSpPr/>
        </xdr:nvSpPr>
        <xdr:spPr>
          <a:xfrm>
            <a:off x="0" y="959048"/>
            <a:ext cx="1089819" cy="929595"/>
          </a:xfrm>
          <a:prstGeom prst="roundRect">
            <a:avLst>
              <a:gd name="adj" fmla="val 23412"/>
            </a:avLst>
          </a:prstGeom>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TextBox 15">
            <a:extLst>
              <a:ext uri="{FF2B5EF4-FFF2-40B4-BE49-F238E27FC236}">
                <a16:creationId xmlns:a16="http://schemas.microsoft.com/office/drawing/2014/main" id="{7D452044-FD96-8D02-FE8E-94681441F46B}"/>
              </a:ext>
            </a:extLst>
          </xdr:cNvPr>
          <xdr:cNvSpPr txBox="1"/>
        </xdr:nvSpPr>
        <xdr:spPr>
          <a:xfrm>
            <a:off x="1272208" y="1091539"/>
            <a:ext cx="1487495" cy="221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accent1">
                    <a:lumMod val="50000"/>
                  </a:schemeClr>
                </a:solidFill>
                <a:latin typeface="Arial" panose="020B0604020202020204" pitchFamily="34" charset="0"/>
                <a:cs typeface="Arial" panose="020B0604020202020204" pitchFamily="34" charset="0"/>
              </a:rPr>
              <a:t>UNIT</a:t>
            </a:r>
            <a:r>
              <a:rPr lang="en-IN" sz="1100" b="1" baseline="0">
                <a:solidFill>
                  <a:schemeClr val="accent1">
                    <a:lumMod val="50000"/>
                  </a:schemeClr>
                </a:solidFill>
                <a:latin typeface="Arial" panose="020B0604020202020204" pitchFamily="34" charset="0"/>
                <a:cs typeface="Arial" panose="020B0604020202020204" pitchFamily="34" charset="0"/>
              </a:rPr>
              <a:t> SOLD</a:t>
            </a:r>
            <a:endParaRPr lang="en-IN" sz="1100" b="1">
              <a:solidFill>
                <a:schemeClr val="accent1">
                  <a:lumMod val="50000"/>
                </a:schemeClr>
              </a:solidFill>
              <a:latin typeface="Arial" panose="020B0604020202020204" pitchFamily="34" charset="0"/>
              <a:cs typeface="Arial" panose="020B0604020202020204" pitchFamily="34" charset="0"/>
            </a:endParaRPr>
          </a:p>
        </xdr:txBody>
      </xdr:sp>
      <xdr:sp macro="" textlink="SalesData!L3">
        <xdr:nvSpPr>
          <xdr:cNvPr id="17" name="TextBox 16">
            <a:extLst>
              <a:ext uri="{FF2B5EF4-FFF2-40B4-BE49-F238E27FC236}">
                <a16:creationId xmlns:a16="http://schemas.microsoft.com/office/drawing/2014/main" id="{7009B9F0-FCAB-3117-F541-D97E5CAEED8F}"/>
              </a:ext>
            </a:extLst>
          </xdr:cNvPr>
          <xdr:cNvSpPr txBox="1"/>
        </xdr:nvSpPr>
        <xdr:spPr>
          <a:xfrm>
            <a:off x="1331843" y="1316562"/>
            <a:ext cx="1334113" cy="336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456389-5C7E-4269-9E9D-D3CD6E70E3EE}" type="TxLink">
              <a:rPr lang="en-US" sz="1800" b="1" i="0" u="none" strike="noStrike">
                <a:solidFill>
                  <a:schemeClr val="accent1">
                    <a:lumMod val="50000"/>
                  </a:schemeClr>
                </a:solidFill>
                <a:latin typeface="Aptos Narrow"/>
              </a:rPr>
              <a:t>4705</a:t>
            </a:fld>
            <a:endParaRPr lang="en-IN" sz="1800" b="1">
              <a:solidFill>
                <a:schemeClr val="accent1">
                  <a:lumMod val="50000"/>
                </a:schemeClr>
              </a:solidFill>
            </a:endParaRPr>
          </a:p>
        </xdr:txBody>
      </xdr:sp>
    </xdr:grpSp>
    <xdr:clientData/>
  </xdr:twoCellAnchor>
  <xdr:twoCellAnchor>
    <xdr:from>
      <xdr:col>16</xdr:col>
      <xdr:colOff>470452</xdr:colOff>
      <xdr:row>5</xdr:row>
      <xdr:rowOff>25681</xdr:rowOff>
    </xdr:from>
    <xdr:to>
      <xdr:col>22</xdr:col>
      <xdr:colOff>33130</xdr:colOff>
      <xdr:row>10</xdr:row>
      <xdr:rowOff>92766</xdr:rowOff>
    </xdr:to>
    <xdr:grpSp>
      <xdr:nvGrpSpPr>
        <xdr:cNvPr id="18" name="Group 17">
          <a:extLst>
            <a:ext uri="{FF2B5EF4-FFF2-40B4-BE49-F238E27FC236}">
              <a16:creationId xmlns:a16="http://schemas.microsoft.com/office/drawing/2014/main" id="{6731B447-49BA-8F16-99F6-A5C684176673}"/>
            </a:ext>
          </a:extLst>
        </xdr:cNvPr>
        <xdr:cNvGrpSpPr/>
      </xdr:nvGrpSpPr>
      <xdr:grpSpPr>
        <a:xfrm>
          <a:off x="10224052" y="950967"/>
          <a:ext cx="3220278" cy="992370"/>
          <a:chOff x="0" y="953333"/>
          <a:chExt cx="2847592" cy="935310"/>
        </a:xfrm>
      </xdr:grpSpPr>
      <xdr:sp macro="" textlink="">
        <xdr:nvSpPr>
          <xdr:cNvPr id="19" name="Rectangle: Rounded Corners 18">
            <a:extLst>
              <a:ext uri="{FF2B5EF4-FFF2-40B4-BE49-F238E27FC236}">
                <a16:creationId xmlns:a16="http://schemas.microsoft.com/office/drawing/2014/main" id="{AE51FD20-939D-AEC3-6E9D-887DA5283218}"/>
              </a:ext>
            </a:extLst>
          </xdr:cNvPr>
          <xdr:cNvSpPr/>
        </xdr:nvSpPr>
        <xdr:spPr>
          <a:xfrm>
            <a:off x="5715" y="953333"/>
            <a:ext cx="2841877" cy="921023"/>
          </a:xfrm>
          <a:prstGeom prst="roundRect">
            <a:avLst>
              <a:gd name="adj" fmla="val 23412"/>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Rounded Corners 19">
            <a:extLst>
              <a:ext uri="{FF2B5EF4-FFF2-40B4-BE49-F238E27FC236}">
                <a16:creationId xmlns:a16="http://schemas.microsoft.com/office/drawing/2014/main" id="{E5CB275A-F928-301B-BE3E-44DE9EDE4A0F}"/>
              </a:ext>
            </a:extLst>
          </xdr:cNvPr>
          <xdr:cNvSpPr/>
        </xdr:nvSpPr>
        <xdr:spPr>
          <a:xfrm>
            <a:off x="0" y="959048"/>
            <a:ext cx="1089819" cy="929595"/>
          </a:xfrm>
          <a:prstGeom prst="roundRect">
            <a:avLst>
              <a:gd name="adj" fmla="val 23412"/>
            </a:avLst>
          </a:prstGeom>
          <a:solidFill>
            <a:schemeClr val="accent1">
              <a:lumMod val="60000"/>
              <a:lumOff val="40000"/>
            </a:schemeClr>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TextBox 20">
            <a:extLst>
              <a:ext uri="{FF2B5EF4-FFF2-40B4-BE49-F238E27FC236}">
                <a16:creationId xmlns:a16="http://schemas.microsoft.com/office/drawing/2014/main" id="{8BEEC359-FFC8-FF53-40A3-4F067E67CFBC}"/>
              </a:ext>
            </a:extLst>
          </xdr:cNvPr>
          <xdr:cNvSpPr txBox="1"/>
        </xdr:nvSpPr>
        <xdr:spPr>
          <a:xfrm>
            <a:off x="1272208" y="1091539"/>
            <a:ext cx="1487495" cy="221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latin typeface="Arial" panose="020B0604020202020204" pitchFamily="34" charset="0"/>
                <a:cs typeface="Arial" panose="020B0604020202020204" pitchFamily="34" charset="0"/>
              </a:rPr>
              <a:t>  </a:t>
            </a:r>
            <a:r>
              <a:rPr lang="en-IN" sz="1100" b="1">
                <a:solidFill>
                  <a:schemeClr val="accent1">
                    <a:lumMod val="50000"/>
                  </a:schemeClr>
                </a:solidFill>
                <a:latin typeface="Arial" panose="020B0604020202020204" pitchFamily="34" charset="0"/>
                <a:cs typeface="Arial" panose="020B0604020202020204" pitchFamily="34" charset="0"/>
              </a:rPr>
              <a:t>TOTAL PROFIT</a:t>
            </a:r>
          </a:p>
        </xdr:txBody>
      </xdr:sp>
      <xdr:sp macro="" textlink="SalesData!L5">
        <xdr:nvSpPr>
          <xdr:cNvPr id="22" name="TextBox 21">
            <a:extLst>
              <a:ext uri="{FF2B5EF4-FFF2-40B4-BE49-F238E27FC236}">
                <a16:creationId xmlns:a16="http://schemas.microsoft.com/office/drawing/2014/main" id="{1223787F-D80A-24A7-1F94-ED534B4700B2}"/>
              </a:ext>
            </a:extLst>
          </xdr:cNvPr>
          <xdr:cNvSpPr txBox="1"/>
        </xdr:nvSpPr>
        <xdr:spPr>
          <a:xfrm>
            <a:off x="1331843" y="1316562"/>
            <a:ext cx="1334113" cy="336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02A541-1952-4B5D-B819-940E54D1ECFA}" type="TxLink">
              <a:rPr lang="en-US" sz="1600" b="1" i="0" u="none" strike="noStrike">
                <a:solidFill>
                  <a:schemeClr val="accent1">
                    <a:lumMod val="50000"/>
                  </a:schemeClr>
                </a:solidFill>
                <a:latin typeface="Aptos Narrow"/>
              </a:rPr>
              <a:t> ₹ 38,34,400 </a:t>
            </a:fld>
            <a:endParaRPr lang="en-US" sz="1600" b="1" i="0" u="none" strike="noStrike">
              <a:solidFill>
                <a:schemeClr val="accent1">
                  <a:lumMod val="50000"/>
                </a:schemeClr>
              </a:solidFill>
              <a:latin typeface="Aptos Narrow"/>
            </a:endParaRPr>
          </a:p>
        </xdr:txBody>
      </xdr:sp>
    </xdr:grpSp>
    <xdr:clientData/>
  </xdr:twoCellAnchor>
  <xdr:twoCellAnchor editAs="oneCell">
    <xdr:from>
      <xdr:col>11</xdr:col>
      <xdr:colOff>281940</xdr:colOff>
      <xdr:row>5</xdr:row>
      <xdr:rowOff>68580</xdr:rowOff>
    </xdr:from>
    <xdr:to>
      <xdr:col>12</xdr:col>
      <xdr:colOff>571500</xdr:colOff>
      <xdr:row>10</xdr:row>
      <xdr:rowOff>53340</xdr:rowOff>
    </xdr:to>
    <xdr:pic>
      <xdr:nvPicPr>
        <xdr:cNvPr id="24" name="Graphic 23" descr="Airplane with solid fill">
          <a:extLst>
            <a:ext uri="{FF2B5EF4-FFF2-40B4-BE49-F238E27FC236}">
              <a16:creationId xmlns:a16="http://schemas.microsoft.com/office/drawing/2014/main" id="{6CFDD7DF-1F92-1022-C782-B650197EB8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987540" y="982980"/>
          <a:ext cx="899160" cy="899160"/>
        </a:xfrm>
        <a:prstGeom prst="rect">
          <a:avLst/>
        </a:prstGeom>
      </xdr:spPr>
    </xdr:pic>
    <xdr:clientData/>
  </xdr:twoCellAnchor>
  <xdr:twoCellAnchor editAs="oneCell">
    <xdr:from>
      <xdr:col>17</xdr:col>
      <xdr:colOff>28080</xdr:colOff>
      <xdr:row>5</xdr:row>
      <xdr:rowOff>12840</xdr:rowOff>
    </xdr:from>
    <xdr:to>
      <xdr:col>18</xdr:col>
      <xdr:colOff>312420</xdr:colOff>
      <xdr:row>9</xdr:row>
      <xdr:rowOff>175260</xdr:rowOff>
    </xdr:to>
    <xdr:pic>
      <xdr:nvPicPr>
        <xdr:cNvPr id="26" name="Graphic 25" descr="Bank with solid fill">
          <a:extLst>
            <a:ext uri="{FF2B5EF4-FFF2-40B4-BE49-F238E27FC236}">
              <a16:creationId xmlns:a16="http://schemas.microsoft.com/office/drawing/2014/main" id="{F178C63A-6C6C-1AA8-CCE7-74A23D6BC0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391280" y="927240"/>
          <a:ext cx="893940" cy="893940"/>
        </a:xfrm>
        <a:prstGeom prst="rect">
          <a:avLst/>
        </a:prstGeom>
      </xdr:spPr>
    </xdr:pic>
    <xdr:clientData/>
  </xdr:twoCellAnchor>
  <xdr:twoCellAnchor editAs="oneCell">
    <xdr:from>
      <xdr:col>6</xdr:col>
      <xdr:colOff>40920</xdr:colOff>
      <xdr:row>5</xdr:row>
      <xdr:rowOff>101880</xdr:rowOff>
    </xdr:from>
    <xdr:to>
      <xdr:col>7</xdr:col>
      <xdr:colOff>304800</xdr:colOff>
      <xdr:row>10</xdr:row>
      <xdr:rowOff>60960</xdr:rowOff>
    </xdr:to>
    <xdr:pic>
      <xdr:nvPicPr>
        <xdr:cNvPr id="28" name="Graphic 27" descr="Coins with solid fill">
          <a:extLst>
            <a:ext uri="{FF2B5EF4-FFF2-40B4-BE49-F238E27FC236}">
              <a16:creationId xmlns:a16="http://schemas.microsoft.com/office/drawing/2014/main" id="{FB3E7604-1AA7-E6E8-D6D9-A7F68D32143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98520" y="1016280"/>
          <a:ext cx="873480" cy="873480"/>
        </a:xfrm>
        <a:prstGeom prst="rect">
          <a:avLst/>
        </a:prstGeom>
      </xdr:spPr>
    </xdr:pic>
    <xdr:clientData/>
  </xdr:twoCellAnchor>
  <xdr:twoCellAnchor editAs="oneCell">
    <xdr:from>
      <xdr:col>0</xdr:col>
      <xdr:colOff>152820</xdr:colOff>
      <xdr:row>5</xdr:row>
      <xdr:rowOff>420</xdr:rowOff>
    </xdr:from>
    <xdr:to>
      <xdr:col>1</xdr:col>
      <xdr:colOff>449580</xdr:colOff>
      <xdr:row>9</xdr:row>
      <xdr:rowOff>175260</xdr:rowOff>
    </xdr:to>
    <xdr:pic>
      <xdr:nvPicPr>
        <xdr:cNvPr id="30" name="Graphic 29" descr="Money with solid fill">
          <a:extLst>
            <a:ext uri="{FF2B5EF4-FFF2-40B4-BE49-F238E27FC236}">
              <a16:creationId xmlns:a16="http://schemas.microsoft.com/office/drawing/2014/main" id="{872C8EE0-7D9C-5EED-EB4F-C5AB967E293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2820" y="914820"/>
          <a:ext cx="906360" cy="906360"/>
        </a:xfrm>
        <a:prstGeom prst="rect">
          <a:avLst/>
        </a:prstGeom>
      </xdr:spPr>
    </xdr:pic>
    <xdr:clientData/>
  </xdr:twoCellAnchor>
  <xdr:twoCellAnchor>
    <xdr:from>
      <xdr:col>5</xdr:col>
      <xdr:colOff>564775</xdr:colOff>
      <xdr:row>0</xdr:row>
      <xdr:rowOff>152400</xdr:rowOff>
    </xdr:from>
    <xdr:to>
      <xdr:col>20</xdr:col>
      <xdr:colOff>21770</xdr:colOff>
      <xdr:row>3</xdr:row>
      <xdr:rowOff>98612</xdr:rowOff>
    </xdr:to>
    <xdr:sp macro="" textlink="">
      <xdr:nvSpPr>
        <xdr:cNvPr id="31" name="TextBox 30">
          <a:extLst>
            <a:ext uri="{FF2B5EF4-FFF2-40B4-BE49-F238E27FC236}">
              <a16:creationId xmlns:a16="http://schemas.microsoft.com/office/drawing/2014/main" id="{A3125472-D6A5-0985-A694-4375D0A4B6C0}"/>
            </a:ext>
          </a:extLst>
        </xdr:cNvPr>
        <xdr:cNvSpPr txBox="1"/>
      </xdr:nvSpPr>
      <xdr:spPr>
        <a:xfrm>
          <a:off x="3612775" y="152400"/>
          <a:ext cx="8600995" cy="501383"/>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a:t>SALES DASHBOARD</a:t>
          </a:r>
        </a:p>
      </xdr:txBody>
    </xdr:sp>
    <xdr:clientData/>
  </xdr:twoCellAnchor>
  <xdr:twoCellAnchor editAs="oneCell">
    <xdr:from>
      <xdr:col>0</xdr:col>
      <xdr:colOff>0</xdr:colOff>
      <xdr:row>11</xdr:row>
      <xdr:rowOff>71717</xdr:rowOff>
    </xdr:from>
    <xdr:to>
      <xdr:col>3</xdr:col>
      <xdr:colOff>239486</xdr:colOff>
      <xdr:row>36</xdr:row>
      <xdr:rowOff>0</xdr:rowOff>
    </xdr:to>
    <mc:AlternateContent xmlns:mc="http://schemas.openxmlformats.org/markup-compatibility/2006">
      <mc:Choice xmlns:a14="http://schemas.microsoft.com/office/drawing/2010/main" Requires="a14">
        <xdr:graphicFrame macro="">
          <xdr:nvGraphicFramePr>
            <xdr:cNvPr id="32" name="Sales Person">
              <a:extLst>
                <a:ext uri="{FF2B5EF4-FFF2-40B4-BE49-F238E27FC236}">
                  <a16:creationId xmlns:a16="http://schemas.microsoft.com/office/drawing/2014/main" id="{22614126-A6A8-4A7B-BB56-0022310FFBC9}"/>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dr:sp macro="" textlink="">
          <xdr:nvSpPr>
            <xdr:cNvPr id="0" name=""/>
            <xdr:cNvSpPr>
              <a:spLocks noTextEdit="1"/>
            </xdr:cNvSpPr>
          </xdr:nvSpPr>
          <xdr:spPr>
            <a:xfrm>
              <a:off x="0" y="2107346"/>
              <a:ext cx="2068286" cy="45547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184222</xdr:colOff>
      <xdr:row>5</xdr:row>
      <xdr:rowOff>103543</xdr:rowOff>
    </xdr:from>
    <xdr:to>
      <xdr:col>26</xdr:col>
      <xdr:colOff>591671</xdr:colOff>
      <xdr:row>11</xdr:row>
      <xdr:rowOff>0</xdr:rowOff>
    </xdr:to>
    <mc:AlternateContent xmlns:mc="http://schemas.openxmlformats.org/markup-compatibility/2006">
      <mc:Choice xmlns:a14="http://schemas.microsoft.com/office/drawing/2010/main" Requires="a14">
        <xdr:graphicFrame macro="">
          <xdr:nvGraphicFramePr>
            <xdr:cNvPr id="33" name="Region">
              <a:extLst>
                <a:ext uri="{FF2B5EF4-FFF2-40B4-BE49-F238E27FC236}">
                  <a16:creationId xmlns:a16="http://schemas.microsoft.com/office/drawing/2014/main" id="{0CBBC747-8798-4427-B965-DBFFE621875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3595422" y="1028829"/>
              <a:ext cx="2845849" cy="1006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37</xdr:row>
      <xdr:rowOff>27710</xdr:rowOff>
    </xdr:from>
    <xdr:to>
      <xdr:col>3</xdr:col>
      <xdr:colOff>250370</xdr:colOff>
      <xdr:row>56</xdr:row>
      <xdr:rowOff>86535</xdr:rowOff>
    </xdr:to>
    <mc:AlternateContent xmlns:mc="http://schemas.openxmlformats.org/markup-compatibility/2006">
      <mc:Choice xmlns:a14="http://schemas.microsoft.com/office/drawing/2010/main" Requires="a14">
        <xdr:graphicFrame macro="">
          <xdr:nvGraphicFramePr>
            <xdr:cNvPr id="34" name="Product">
              <a:extLst>
                <a:ext uri="{FF2B5EF4-FFF2-40B4-BE49-F238E27FC236}">
                  <a16:creationId xmlns:a16="http://schemas.microsoft.com/office/drawing/2014/main" id="{80D23BA1-D883-4673-80B4-43C7C921A712}"/>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0" y="6874824"/>
              <a:ext cx="2079170" cy="3574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533400</xdr:colOff>
      <xdr:row>11</xdr:row>
      <xdr:rowOff>119742</xdr:rowOff>
    </xdr:from>
    <xdr:to>
      <xdr:col>14</xdr:col>
      <xdr:colOff>381000</xdr:colOff>
      <xdr:row>34</xdr:row>
      <xdr:rowOff>43542</xdr:rowOff>
    </xdr:to>
    <xdr:sp macro="" textlink="">
      <xdr:nvSpPr>
        <xdr:cNvPr id="35" name="Rectangle: Rounded Corners 34">
          <a:extLst>
            <a:ext uri="{FF2B5EF4-FFF2-40B4-BE49-F238E27FC236}">
              <a16:creationId xmlns:a16="http://schemas.microsoft.com/office/drawing/2014/main" id="{E9C15503-7F54-2AB1-D3B2-3C775C4474B1}"/>
            </a:ext>
          </a:extLst>
        </xdr:cNvPr>
        <xdr:cNvSpPr/>
      </xdr:nvSpPr>
      <xdr:spPr>
        <a:xfrm>
          <a:off x="2362200" y="2155371"/>
          <a:ext cx="6553200" cy="4180114"/>
        </a:xfrm>
        <a:prstGeom prst="roundRect">
          <a:avLst>
            <a:gd name="adj" fmla="val 15047"/>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1">
                  <a:lumMod val="50000"/>
                </a:schemeClr>
              </a:solidFill>
            </a:rPr>
            <a:t>UNIT</a:t>
          </a:r>
          <a:r>
            <a:rPr lang="en-IN" sz="1800" b="1" baseline="0">
              <a:solidFill>
                <a:schemeClr val="accent1">
                  <a:lumMod val="50000"/>
                </a:schemeClr>
              </a:solidFill>
            </a:rPr>
            <a:t> SOLD BY PRODUCT</a:t>
          </a:r>
          <a:endParaRPr lang="en-IN" sz="1800" b="1">
            <a:solidFill>
              <a:schemeClr val="accent1">
                <a:lumMod val="50000"/>
              </a:schemeClr>
            </a:solidFill>
          </a:endParaRPr>
        </a:p>
      </xdr:txBody>
    </xdr:sp>
    <xdr:clientData/>
  </xdr:twoCellAnchor>
  <xdr:twoCellAnchor>
    <xdr:from>
      <xdr:col>4</xdr:col>
      <xdr:colOff>272142</xdr:colOff>
      <xdr:row>15</xdr:row>
      <xdr:rowOff>152401</xdr:rowOff>
    </xdr:from>
    <xdr:to>
      <xdr:col>14</xdr:col>
      <xdr:colOff>65314</xdr:colOff>
      <xdr:row>32</xdr:row>
      <xdr:rowOff>119743</xdr:rowOff>
    </xdr:to>
    <xdr:graphicFrame macro="">
      <xdr:nvGraphicFramePr>
        <xdr:cNvPr id="36" name="Chart 35">
          <a:extLst>
            <a:ext uri="{FF2B5EF4-FFF2-40B4-BE49-F238E27FC236}">
              <a16:creationId xmlns:a16="http://schemas.microsoft.com/office/drawing/2014/main" id="{D368A9DB-C8B5-412D-A905-2935084BA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206829</xdr:colOff>
      <xdr:row>12</xdr:row>
      <xdr:rowOff>76200</xdr:rowOff>
    </xdr:from>
    <xdr:to>
      <xdr:col>27</xdr:col>
      <xdr:colOff>0</xdr:colOff>
      <xdr:row>35</xdr:row>
      <xdr:rowOff>0</xdr:rowOff>
    </xdr:to>
    <xdr:sp macro="" textlink="">
      <xdr:nvSpPr>
        <xdr:cNvPr id="37" name="Rectangle: Rounded Corners 36">
          <a:extLst>
            <a:ext uri="{FF2B5EF4-FFF2-40B4-BE49-F238E27FC236}">
              <a16:creationId xmlns:a16="http://schemas.microsoft.com/office/drawing/2014/main" id="{92C53E3C-128E-431B-89A5-91125C3E0D75}"/>
            </a:ext>
          </a:extLst>
        </xdr:cNvPr>
        <xdr:cNvSpPr/>
      </xdr:nvSpPr>
      <xdr:spPr>
        <a:xfrm>
          <a:off x="9350829" y="2296886"/>
          <a:ext cx="7108371" cy="4180114"/>
        </a:xfrm>
        <a:prstGeom prst="roundRect">
          <a:avLst>
            <a:gd name="adj" fmla="val 15047"/>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1">
                  <a:lumMod val="50000"/>
                </a:schemeClr>
              </a:solidFill>
            </a:rPr>
            <a:t>TOTAL SALES</a:t>
          </a:r>
          <a:r>
            <a:rPr lang="en-IN" sz="1800" b="1" baseline="0">
              <a:solidFill>
                <a:schemeClr val="accent1">
                  <a:lumMod val="50000"/>
                </a:schemeClr>
              </a:solidFill>
            </a:rPr>
            <a:t> BY REGION</a:t>
          </a:r>
          <a:endParaRPr lang="en-IN" sz="1800" b="1">
            <a:solidFill>
              <a:schemeClr val="accent1">
                <a:lumMod val="50000"/>
              </a:schemeClr>
            </a:solidFill>
          </a:endParaRPr>
        </a:p>
      </xdr:txBody>
    </xdr:sp>
    <xdr:clientData/>
  </xdr:twoCellAnchor>
  <xdr:twoCellAnchor>
    <xdr:from>
      <xdr:col>3</xdr:col>
      <xdr:colOff>533400</xdr:colOff>
      <xdr:row>34</xdr:row>
      <xdr:rowOff>185056</xdr:rowOff>
    </xdr:from>
    <xdr:to>
      <xdr:col>16</xdr:col>
      <xdr:colOff>0</xdr:colOff>
      <xdr:row>58</xdr:row>
      <xdr:rowOff>185056</xdr:rowOff>
    </xdr:to>
    <xdr:sp macro="" textlink="">
      <xdr:nvSpPr>
        <xdr:cNvPr id="38" name="Rectangle: Rounded Corners 37">
          <a:extLst>
            <a:ext uri="{FF2B5EF4-FFF2-40B4-BE49-F238E27FC236}">
              <a16:creationId xmlns:a16="http://schemas.microsoft.com/office/drawing/2014/main" id="{0C9DF66A-27B6-4DB5-8BEC-337CC7F9428B}"/>
            </a:ext>
          </a:extLst>
        </xdr:cNvPr>
        <xdr:cNvSpPr/>
      </xdr:nvSpPr>
      <xdr:spPr>
        <a:xfrm>
          <a:off x="2362200" y="6476999"/>
          <a:ext cx="7391400" cy="4441371"/>
        </a:xfrm>
        <a:prstGeom prst="roundRect">
          <a:avLst>
            <a:gd name="adj" fmla="val 15047"/>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1">
                  <a:lumMod val="50000"/>
                </a:schemeClr>
              </a:solidFill>
            </a:rPr>
            <a:t>UNIT</a:t>
          </a:r>
          <a:r>
            <a:rPr lang="en-IN" sz="1800" b="1" baseline="0">
              <a:solidFill>
                <a:schemeClr val="accent1">
                  <a:lumMod val="50000"/>
                </a:schemeClr>
              </a:solidFill>
            </a:rPr>
            <a:t> SOLD BY PRODUCT</a:t>
          </a:r>
          <a:endParaRPr lang="en-IN" sz="1800" b="1">
            <a:solidFill>
              <a:schemeClr val="accent1">
                <a:lumMod val="50000"/>
              </a:schemeClr>
            </a:solidFill>
          </a:endParaRPr>
        </a:p>
      </xdr:txBody>
    </xdr:sp>
    <xdr:clientData/>
  </xdr:twoCellAnchor>
  <xdr:twoCellAnchor>
    <xdr:from>
      <xdr:col>16</xdr:col>
      <xdr:colOff>97974</xdr:colOff>
      <xdr:row>35</xdr:row>
      <xdr:rowOff>65315</xdr:rowOff>
    </xdr:from>
    <xdr:to>
      <xdr:col>28</xdr:col>
      <xdr:colOff>97974</xdr:colOff>
      <xdr:row>59</xdr:row>
      <xdr:rowOff>0</xdr:rowOff>
    </xdr:to>
    <xdr:sp macro="" textlink="">
      <xdr:nvSpPr>
        <xdr:cNvPr id="39" name="Rectangle: Rounded Corners 38">
          <a:extLst>
            <a:ext uri="{FF2B5EF4-FFF2-40B4-BE49-F238E27FC236}">
              <a16:creationId xmlns:a16="http://schemas.microsoft.com/office/drawing/2014/main" id="{A4714B73-B580-4BC9-9DC0-05F33F93ACAD}"/>
            </a:ext>
          </a:extLst>
        </xdr:cNvPr>
        <xdr:cNvSpPr/>
      </xdr:nvSpPr>
      <xdr:spPr>
        <a:xfrm>
          <a:off x="9851574" y="6542315"/>
          <a:ext cx="7315200" cy="4376056"/>
        </a:xfrm>
        <a:prstGeom prst="roundRect">
          <a:avLst>
            <a:gd name="adj" fmla="val 15047"/>
          </a:avLst>
        </a:prstGeom>
        <a:solidFill>
          <a:schemeClr val="bg1"/>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accent1">
                  <a:lumMod val="50000"/>
                </a:schemeClr>
              </a:solidFill>
            </a:rPr>
            <a:t>TOTAL</a:t>
          </a:r>
          <a:r>
            <a:rPr lang="en-IN" sz="1800" b="1" baseline="0">
              <a:solidFill>
                <a:schemeClr val="accent1">
                  <a:lumMod val="50000"/>
                </a:schemeClr>
              </a:solidFill>
            </a:rPr>
            <a:t> SALE BY SALE PERSON</a:t>
          </a:r>
          <a:endParaRPr lang="en-IN" sz="1800" b="1">
            <a:solidFill>
              <a:schemeClr val="accent1">
                <a:lumMod val="50000"/>
              </a:schemeClr>
            </a:solidFill>
          </a:endParaRPr>
        </a:p>
      </xdr:txBody>
    </xdr:sp>
    <xdr:clientData/>
  </xdr:twoCellAnchor>
  <xdr:twoCellAnchor>
    <xdr:from>
      <xdr:col>16</xdr:col>
      <xdr:colOff>402772</xdr:colOff>
      <xdr:row>15</xdr:row>
      <xdr:rowOff>130629</xdr:rowOff>
    </xdr:from>
    <xdr:to>
      <xdr:col>26</xdr:col>
      <xdr:colOff>130629</xdr:colOff>
      <xdr:row>33</xdr:row>
      <xdr:rowOff>152399</xdr:rowOff>
    </xdr:to>
    <xdr:graphicFrame macro="">
      <xdr:nvGraphicFramePr>
        <xdr:cNvPr id="40" name="Chart 39">
          <a:extLst>
            <a:ext uri="{FF2B5EF4-FFF2-40B4-BE49-F238E27FC236}">
              <a16:creationId xmlns:a16="http://schemas.microsoft.com/office/drawing/2014/main" id="{2657FA13-0062-4DD6-909E-612F1FCD8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582622</xdr:colOff>
      <xdr:row>39</xdr:row>
      <xdr:rowOff>10885</xdr:rowOff>
    </xdr:from>
    <xdr:to>
      <xdr:col>14</xdr:col>
      <xdr:colOff>65314</xdr:colOff>
      <xdr:row>57</xdr:row>
      <xdr:rowOff>10885</xdr:rowOff>
    </xdr:to>
    <xdr:graphicFrame macro="">
      <xdr:nvGraphicFramePr>
        <xdr:cNvPr id="41" name="Chart 40">
          <a:extLst>
            <a:ext uri="{FF2B5EF4-FFF2-40B4-BE49-F238E27FC236}">
              <a16:creationId xmlns:a16="http://schemas.microsoft.com/office/drawing/2014/main" id="{89EA2411-7E07-4C5F-A5E4-7FCA00611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19405</xdr:colOff>
      <xdr:row>37</xdr:row>
      <xdr:rowOff>130629</xdr:rowOff>
    </xdr:from>
    <xdr:to>
      <xdr:col>26</xdr:col>
      <xdr:colOff>544759</xdr:colOff>
      <xdr:row>55</xdr:row>
      <xdr:rowOff>97971</xdr:rowOff>
    </xdr:to>
    <xdr:graphicFrame macro="">
      <xdr:nvGraphicFramePr>
        <xdr:cNvPr id="42" name="Chart 41">
          <a:extLst>
            <a:ext uri="{FF2B5EF4-FFF2-40B4-BE49-F238E27FC236}">
              <a16:creationId xmlns:a16="http://schemas.microsoft.com/office/drawing/2014/main" id="{F35182AE-50CC-42BA-8482-6D17EF2AC3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28</xdr:col>
          <xdr:colOff>0</xdr:colOff>
          <xdr:row>6</xdr:row>
          <xdr:rowOff>0</xdr:rowOff>
        </xdr:from>
        <xdr:to>
          <xdr:col>31</xdr:col>
          <xdr:colOff>0</xdr:colOff>
          <xdr:row>10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00"/>
                  </a:solidFill>
                  <a:latin typeface="Aptos Narrow"/>
                </a:rPr>
                <a:t>Clear Filter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SHNA KUMAR" refreshedDate="45692.722002662034" createdVersion="8" refreshedVersion="8" minRefreshableVersion="3" recordCount="50" xr:uid="{4D6196FD-9DD5-49A9-A843-B239C6359C8C}">
  <cacheSource type="worksheet">
    <worksheetSource name="Table1"/>
  </cacheSource>
  <cacheFields count="9">
    <cacheField name="Date" numFmtId="14">
      <sharedItems containsSemiMixedTypes="0" containsNonDate="0" containsDate="1" containsString="0" minDate="2020-05-07T00:00:00" maxDate="2021-12-22T00:00:00"/>
    </cacheField>
    <cacheField name="Sales Person" numFmtId="0">
      <sharedItems count="10">
        <s v="Andrew"/>
        <s v="Grace"/>
        <s v="Ella"/>
        <s v="Cameron"/>
        <s v="Megan"/>
        <s v="Carolyn"/>
        <s v="Virginia"/>
        <s v="Connor"/>
        <s v="Anna"/>
        <s v="Nicholas"/>
      </sharedItems>
    </cacheField>
    <cacheField name="Region" numFmtId="0">
      <sharedItems count="4">
        <s v="West"/>
        <s v="East"/>
        <s v="South"/>
        <s v="North"/>
      </sharedItems>
    </cacheField>
    <cacheField name="Product" numFmtId="0">
      <sharedItems count="7">
        <s v="Tent"/>
        <s v="Blender"/>
        <s v="Action Figure"/>
        <s v="Novel"/>
        <s v="Sneakers"/>
        <s v="Moisturizer"/>
        <s v="Smartphone"/>
      </sharedItems>
    </cacheField>
    <cacheField name="Units Sold" numFmtId="0">
      <sharedItems containsSemiMixedTypes="0" containsString="0" containsNumber="1" containsInteger="1" minValue="51" maxValue="149" count="40">
        <n v="84"/>
        <n v="128"/>
        <n v="136"/>
        <n v="91"/>
        <n v="110"/>
        <n v="51"/>
        <n v="78"/>
        <n v="146"/>
        <n v="101"/>
        <n v="52"/>
        <n v="55"/>
        <n v="137"/>
        <n v="96"/>
        <n v="76"/>
        <n v="145"/>
        <n v="83"/>
        <n v="108"/>
        <n v="144"/>
        <n v="92"/>
        <n v="71"/>
        <n v="103"/>
        <n v="93"/>
        <n v="143"/>
        <n v="99"/>
        <n v="120"/>
        <n v="66"/>
        <n v="88"/>
        <n v="127"/>
        <n v="67"/>
        <n v="149"/>
        <n v="104"/>
        <n v="57"/>
        <n v="90"/>
        <n v="69"/>
        <n v="59"/>
        <n v="109"/>
        <n v="61"/>
        <n v="130"/>
        <n v="60"/>
        <n v="73"/>
      </sharedItems>
    </cacheField>
    <cacheField name="Unit Price" numFmtId="164">
      <sharedItems containsSemiMixedTypes="0" containsString="0" containsNumber="1" containsInteger="1" minValue="600" maxValue="10000"/>
    </cacheField>
    <cacheField name="Cost of Goods" numFmtId="164">
      <sharedItems containsSemiMixedTypes="0" containsString="0" containsNumber="1" containsInteger="1" minValue="400" maxValue="7000"/>
    </cacheField>
    <cacheField name="Total Sales" numFmtId="164">
      <sharedItems containsSemiMixedTypes="0" containsString="0" containsNumber="1" containsInteger="1" minValue="34200" maxValue="1270000"/>
    </cacheField>
    <cacheField name="Profit" numFmtId="164">
      <sharedItems containsSemiMixedTypes="0" containsString="0" containsNumber="1" containsInteger="1" minValue="11400" maxValue="381000"/>
    </cacheField>
  </cacheFields>
  <extLst>
    <ext xmlns:x14="http://schemas.microsoft.com/office/spreadsheetml/2009/9/main" uri="{725AE2AE-9491-48be-B2B4-4EB974FC3084}">
      <x14:pivotCacheDefinition pivotCacheId="15334754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d v="2021-02-19T00:00:00"/>
    <x v="0"/>
    <x v="0"/>
    <x v="0"/>
    <x v="0"/>
    <n v="6000"/>
    <n v="4000"/>
    <n v="504000"/>
    <n v="168000"/>
  </r>
  <r>
    <d v="2021-09-07T00:00:00"/>
    <x v="1"/>
    <x v="1"/>
    <x v="1"/>
    <x v="1"/>
    <n v="3500"/>
    <n v="2500"/>
    <n v="448000"/>
    <n v="128000"/>
  </r>
  <r>
    <d v="2021-02-03T00:00:00"/>
    <x v="2"/>
    <x v="2"/>
    <x v="2"/>
    <x v="2"/>
    <n v="1200"/>
    <n v="800"/>
    <n v="163200"/>
    <n v="54400"/>
  </r>
  <r>
    <d v="2020-09-11T00:00:00"/>
    <x v="3"/>
    <x v="3"/>
    <x v="3"/>
    <x v="3"/>
    <n v="1000"/>
    <n v="700"/>
    <n v="91000"/>
    <n v="27300"/>
  </r>
  <r>
    <d v="2021-09-23T00:00:00"/>
    <x v="4"/>
    <x v="0"/>
    <x v="4"/>
    <x v="4"/>
    <n v="4000"/>
    <n v="3000"/>
    <n v="440000"/>
    <n v="110000"/>
  </r>
  <r>
    <d v="2020-10-01T00:00:00"/>
    <x v="5"/>
    <x v="1"/>
    <x v="2"/>
    <x v="5"/>
    <n v="1200"/>
    <n v="800"/>
    <n v="61200"/>
    <n v="20400"/>
  </r>
  <r>
    <d v="2021-08-05T00:00:00"/>
    <x v="6"/>
    <x v="3"/>
    <x v="3"/>
    <x v="6"/>
    <n v="1000"/>
    <n v="700"/>
    <n v="78000"/>
    <n v="23400"/>
  </r>
  <r>
    <d v="2020-11-06T00:00:00"/>
    <x v="7"/>
    <x v="2"/>
    <x v="0"/>
    <x v="7"/>
    <n v="6000"/>
    <n v="4000"/>
    <n v="876000"/>
    <n v="292000"/>
  </r>
  <r>
    <d v="2021-01-27T00:00:00"/>
    <x v="8"/>
    <x v="0"/>
    <x v="5"/>
    <x v="8"/>
    <n v="600"/>
    <n v="400"/>
    <n v="60600"/>
    <n v="20200"/>
  </r>
  <r>
    <d v="2021-09-03T00:00:00"/>
    <x v="9"/>
    <x v="2"/>
    <x v="0"/>
    <x v="9"/>
    <n v="6000"/>
    <n v="4000"/>
    <n v="312000"/>
    <n v="104000"/>
  </r>
  <r>
    <d v="2021-09-30T00:00:00"/>
    <x v="9"/>
    <x v="1"/>
    <x v="2"/>
    <x v="10"/>
    <n v="1200"/>
    <n v="800"/>
    <n v="66000"/>
    <n v="22000"/>
  </r>
  <r>
    <d v="2020-09-10T00:00:00"/>
    <x v="9"/>
    <x v="2"/>
    <x v="3"/>
    <x v="11"/>
    <n v="1000"/>
    <n v="700"/>
    <n v="137000"/>
    <n v="41100"/>
  </r>
  <r>
    <d v="2021-07-27T00:00:00"/>
    <x v="7"/>
    <x v="2"/>
    <x v="1"/>
    <x v="12"/>
    <n v="3500"/>
    <n v="2500"/>
    <n v="336000"/>
    <n v="96000"/>
  </r>
  <r>
    <d v="2020-10-09T00:00:00"/>
    <x v="8"/>
    <x v="1"/>
    <x v="4"/>
    <x v="9"/>
    <n v="4000"/>
    <n v="3000"/>
    <n v="208000"/>
    <n v="52000"/>
  </r>
  <r>
    <d v="2021-04-06T00:00:00"/>
    <x v="3"/>
    <x v="0"/>
    <x v="1"/>
    <x v="13"/>
    <n v="3500"/>
    <n v="2500"/>
    <n v="266000"/>
    <n v="76000"/>
  </r>
  <r>
    <d v="2021-06-15T00:00:00"/>
    <x v="1"/>
    <x v="3"/>
    <x v="4"/>
    <x v="14"/>
    <n v="4000"/>
    <n v="3000"/>
    <n v="580000"/>
    <n v="145000"/>
  </r>
  <r>
    <d v="2020-09-09T00:00:00"/>
    <x v="0"/>
    <x v="2"/>
    <x v="5"/>
    <x v="15"/>
    <n v="600"/>
    <n v="400"/>
    <n v="49800"/>
    <n v="16600"/>
  </r>
  <r>
    <d v="2021-08-13T00:00:00"/>
    <x v="4"/>
    <x v="2"/>
    <x v="3"/>
    <x v="3"/>
    <n v="1000"/>
    <n v="700"/>
    <n v="91000"/>
    <n v="27300"/>
  </r>
  <r>
    <d v="2020-08-27T00:00:00"/>
    <x v="5"/>
    <x v="0"/>
    <x v="6"/>
    <x v="16"/>
    <n v="10000"/>
    <n v="7000"/>
    <n v="1080000"/>
    <n v="324000"/>
  </r>
  <r>
    <d v="2021-04-07T00:00:00"/>
    <x v="2"/>
    <x v="3"/>
    <x v="4"/>
    <x v="17"/>
    <n v="4000"/>
    <n v="3000"/>
    <n v="576000"/>
    <n v="144000"/>
  </r>
  <r>
    <d v="2020-06-08T00:00:00"/>
    <x v="4"/>
    <x v="2"/>
    <x v="5"/>
    <x v="18"/>
    <n v="600"/>
    <n v="400"/>
    <n v="55200"/>
    <n v="18400"/>
  </r>
  <r>
    <d v="2021-12-21T00:00:00"/>
    <x v="7"/>
    <x v="0"/>
    <x v="0"/>
    <x v="19"/>
    <n v="6000"/>
    <n v="4000"/>
    <n v="426000"/>
    <n v="142000"/>
  </r>
  <r>
    <d v="2021-08-10T00:00:00"/>
    <x v="0"/>
    <x v="1"/>
    <x v="5"/>
    <x v="20"/>
    <n v="600"/>
    <n v="400"/>
    <n v="61800"/>
    <n v="20600"/>
  </r>
  <r>
    <d v="2021-12-02T00:00:00"/>
    <x v="9"/>
    <x v="3"/>
    <x v="3"/>
    <x v="10"/>
    <n v="1000"/>
    <n v="700"/>
    <n v="55000"/>
    <n v="16500"/>
  </r>
  <r>
    <d v="2021-08-30T00:00:00"/>
    <x v="5"/>
    <x v="1"/>
    <x v="4"/>
    <x v="21"/>
    <n v="4000"/>
    <n v="3000"/>
    <n v="372000"/>
    <n v="93000"/>
  </r>
  <r>
    <d v="2020-05-20T00:00:00"/>
    <x v="2"/>
    <x v="2"/>
    <x v="5"/>
    <x v="22"/>
    <n v="600"/>
    <n v="400"/>
    <n v="85800"/>
    <n v="28600"/>
  </r>
  <r>
    <d v="2021-09-13T00:00:00"/>
    <x v="6"/>
    <x v="0"/>
    <x v="1"/>
    <x v="22"/>
    <n v="3500"/>
    <n v="2500"/>
    <n v="500500"/>
    <n v="143000"/>
  </r>
  <r>
    <d v="2021-10-27T00:00:00"/>
    <x v="8"/>
    <x v="3"/>
    <x v="5"/>
    <x v="23"/>
    <n v="600"/>
    <n v="400"/>
    <n v="59400"/>
    <n v="19800"/>
  </r>
  <r>
    <d v="2020-12-22T00:00:00"/>
    <x v="3"/>
    <x v="0"/>
    <x v="3"/>
    <x v="24"/>
    <n v="1000"/>
    <n v="700"/>
    <n v="120000"/>
    <n v="36000"/>
  </r>
  <r>
    <d v="2021-07-28T00:00:00"/>
    <x v="1"/>
    <x v="2"/>
    <x v="1"/>
    <x v="25"/>
    <n v="3500"/>
    <n v="2500"/>
    <n v="231000"/>
    <n v="66000"/>
  </r>
  <r>
    <d v="2020-09-29T00:00:00"/>
    <x v="8"/>
    <x v="3"/>
    <x v="2"/>
    <x v="26"/>
    <n v="1200"/>
    <n v="800"/>
    <n v="105600"/>
    <n v="35200"/>
  </r>
  <r>
    <d v="2020-10-22T00:00:00"/>
    <x v="3"/>
    <x v="1"/>
    <x v="6"/>
    <x v="27"/>
    <n v="10000"/>
    <n v="7000"/>
    <n v="1270000"/>
    <n v="381000"/>
  </r>
  <r>
    <d v="2020-05-19T00:00:00"/>
    <x v="4"/>
    <x v="0"/>
    <x v="4"/>
    <x v="28"/>
    <n v="4000"/>
    <n v="3000"/>
    <n v="268000"/>
    <n v="67000"/>
  </r>
  <r>
    <d v="2021-12-06T00:00:00"/>
    <x v="1"/>
    <x v="1"/>
    <x v="2"/>
    <x v="28"/>
    <n v="1200"/>
    <n v="800"/>
    <n v="80400"/>
    <n v="26800"/>
  </r>
  <r>
    <d v="2020-08-26T00:00:00"/>
    <x v="9"/>
    <x v="2"/>
    <x v="3"/>
    <x v="29"/>
    <n v="1000"/>
    <n v="700"/>
    <n v="149000"/>
    <n v="44700"/>
  </r>
  <r>
    <d v="2021-07-01T00:00:00"/>
    <x v="4"/>
    <x v="3"/>
    <x v="5"/>
    <x v="30"/>
    <n v="600"/>
    <n v="400"/>
    <n v="62400"/>
    <n v="20800"/>
  </r>
  <r>
    <d v="2021-07-27T00:00:00"/>
    <x v="7"/>
    <x v="0"/>
    <x v="5"/>
    <x v="31"/>
    <n v="600"/>
    <n v="400"/>
    <n v="34200"/>
    <n v="11400"/>
  </r>
  <r>
    <d v="2020-10-05T00:00:00"/>
    <x v="2"/>
    <x v="1"/>
    <x v="5"/>
    <x v="32"/>
    <n v="600"/>
    <n v="400"/>
    <n v="54000"/>
    <n v="18000"/>
  </r>
  <r>
    <d v="2020-09-02T00:00:00"/>
    <x v="5"/>
    <x v="2"/>
    <x v="5"/>
    <x v="28"/>
    <n v="600"/>
    <n v="400"/>
    <n v="40200"/>
    <n v="13400"/>
  </r>
  <r>
    <d v="2021-09-02T00:00:00"/>
    <x v="0"/>
    <x v="3"/>
    <x v="4"/>
    <x v="27"/>
    <n v="4000"/>
    <n v="3000"/>
    <n v="508000"/>
    <n v="127000"/>
  </r>
  <r>
    <d v="2021-04-13T00:00:00"/>
    <x v="5"/>
    <x v="0"/>
    <x v="3"/>
    <x v="16"/>
    <n v="1000"/>
    <n v="700"/>
    <n v="108000"/>
    <n v="32400"/>
  </r>
  <r>
    <d v="2021-05-06T00:00:00"/>
    <x v="2"/>
    <x v="1"/>
    <x v="1"/>
    <x v="25"/>
    <n v="3500"/>
    <n v="2500"/>
    <n v="231000"/>
    <n v="66000"/>
  </r>
  <r>
    <d v="2021-01-15T00:00:00"/>
    <x v="0"/>
    <x v="3"/>
    <x v="0"/>
    <x v="6"/>
    <n v="6000"/>
    <n v="4000"/>
    <n v="468000"/>
    <n v="156000"/>
  </r>
  <r>
    <d v="2020-08-27T00:00:00"/>
    <x v="7"/>
    <x v="2"/>
    <x v="3"/>
    <x v="33"/>
    <n v="1000"/>
    <n v="700"/>
    <n v="69000"/>
    <n v="20700"/>
  </r>
  <r>
    <d v="2021-02-05T00:00:00"/>
    <x v="4"/>
    <x v="0"/>
    <x v="2"/>
    <x v="34"/>
    <n v="1200"/>
    <n v="800"/>
    <n v="70800"/>
    <n v="23600"/>
  </r>
  <r>
    <d v="2021-11-17T00:00:00"/>
    <x v="9"/>
    <x v="2"/>
    <x v="5"/>
    <x v="35"/>
    <n v="600"/>
    <n v="400"/>
    <n v="65400"/>
    <n v="21800"/>
  </r>
  <r>
    <d v="2020-12-28T00:00:00"/>
    <x v="8"/>
    <x v="1"/>
    <x v="4"/>
    <x v="36"/>
    <n v="4000"/>
    <n v="3000"/>
    <n v="244000"/>
    <n v="61000"/>
  </r>
  <r>
    <d v="2021-10-27T00:00:00"/>
    <x v="4"/>
    <x v="3"/>
    <x v="5"/>
    <x v="37"/>
    <n v="600"/>
    <n v="400"/>
    <n v="78000"/>
    <n v="26000"/>
  </r>
  <r>
    <d v="2021-11-02T00:00:00"/>
    <x v="3"/>
    <x v="2"/>
    <x v="1"/>
    <x v="38"/>
    <n v="3500"/>
    <n v="2500"/>
    <n v="210000"/>
    <n v="60000"/>
  </r>
  <r>
    <d v="2020-05-07T00:00:00"/>
    <x v="1"/>
    <x v="1"/>
    <x v="0"/>
    <x v="39"/>
    <n v="6000"/>
    <n v="4000"/>
    <n v="438000"/>
    <n v="14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4141C0-C241-489E-8BB7-EE2A437EF02C}" name="PivotTable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J3:K11" firstHeaderRow="1" firstDataRow="1" firstDataCol="1"/>
  <pivotFields count="9">
    <pivotField numFmtId="14" showAll="0"/>
    <pivotField showAll="0">
      <items count="11">
        <item x="0"/>
        <item x="8"/>
        <item x="3"/>
        <item x="5"/>
        <item x="7"/>
        <item x="2"/>
        <item x="1"/>
        <item x="4"/>
        <item x="9"/>
        <item x="6"/>
        <item t="default"/>
      </items>
    </pivotField>
    <pivotField showAll="0">
      <items count="5">
        <item x="1"/>
        <item x="3"/>
        <item x="2"/>
        <item x="0"/>
        <item t="default"/>
      </items>
    </pivotField>
    <pivotField axis="axisRow" showAll="0">
      <items count="8">
        <item x="2"/>
        <item x="1"/>
        <item x="5"/>
        <item x="3"/>
        <item x="6"/>
        <item x="4"/>
        <item x="0"/>
        <item t="default"/>
      </items>
    </pivotField>
    <pivotField dataField="1" showAll="0"/>
    <pivotField numFmtId="164" showAll="0"/>
    <pivotField numFmtId="164" showAll="0"/>
    <pivotField numFmtId="164" showAll="0"/>
    <pivotField numFmtId="164" showAll="0"/>
  </pivotFields>
  <rowFields count="1">
    <field x="3"/>
  </rowFields>
  <rowItems count="8">
    <i>
      <x/>
    </i>
    <i>
      <x v="1"/>
    </i>
    <i>
      <x v="2"/>
    </i>
    <i>
      <x v="3"/>
    </i>
    <i>
      <x v="4"/>
    </i>
    <i>
      <x v="5"/>
    </i>
    <i>
      <x v="6"/>
    </i>
    <i t="grand">
      <x/>
    </i>
  </rowItems>
  <colItems count="1">
    <i/>
  </colItems>
  <dataFields count="1">
    <dataField name="Sum of Units Sold" fld="4" baseField="0" baseItem="0"/>
  </dataFields>
  <chartFormats count="1">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2DAF7E-8055-4732-9756-696FA2BAB896}" name="PivotTable6"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3:H14" firstHeaderRow="1" firstDataRow="1" firstDataCol="1"/>
  <pivotFields count="9">
    <pivotField numFmtId="14" showAll="0"/>
    <pivotField axis="axisRow" showAll="0">
      <items count="11">
        <item x="0"/>
        <item x="8"/>
        <item x="3"/>
        <item x="5"/>
        <item x="7"/>
        <item x="2"/>
        <item x="1"/>
        <item x="4"/>
        <item x="9"/>
        <item x="6"/>
        <item t="default"/>
      </items>
    </pivotField>
    <pivotField showAll="0">
      <items count="5">
        <item x="1"/>
        <item x="3"/>
        <item x="2"/>
        <item x="0"/>
        <item t="default"/>
      </items>
    </pivotField>
    <pivotField showAll="0">
      <items count="8">
        <item x="2"/>
        <item x="1"/>
        <item x="5"/>
        <item x="3"/>
        <item x="6"/>
        <item x="4"/>
        <item x="0"/>
        <item t="default"/>
      </items>
    </pivotField>
    <pivotField showAll="0"/>
    <pivotField numFmtId="164" showAll="0"/>
    <pivotField numFmtId="164" showAll="0"/>
    <pivotField dataField="1" numFmtId="164" showAll="0"/>
    <pivotField numFmtId="164" showAll="0"/>
  </pivotFields>
  <rowFields count="1">
    <field x="1"/>
  </rowFields>
  <rowItems count="11">
    <i>
      <x/>
    </i>
    <i>
      <x v="1"/>
    </i>
    <i>
      <x v="2"/>
    </i>
    <i>
      <x v="3"/>
    </i>
    <i>
      <x v="4"/>
    </i>
    <i>
      <x v="5"/>
    </i>
    <i>
      <x v="6"/>
    </i>
    <i>
      <x v="7"/>
    </i>
    <i>
      <x v="8"/>
    </i>
    <i>
      <x v="9"/>
    </i>
    <i t="grand">
      <x/>
    </i>
  </rowItems>
  <colItems count="1">
    <i/>
  </colItems>
  <dataFields count="1">
    <dataField name="Sum of Total Sales" fld="7" baseField="0" baseItem="0" numFmtId="165"/>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6A303C-7F2D-4E3D-893C-A2462C735D79}"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D3:E11" firstHeaderRow="1" firstDataRow="1" firstDataCol="1"/>
  <pivotFields count="9">
    <pivotField numFmtId="14" showAll="0"/>
    <pivotField showAll="0">
      <items count="11">
        <item x="0"/>
        <item x="8"/>
        <item x="3"/>
        <item x="5"/>
        <item x="7"/>
        <item x="2"/>
        <item x="1"/>
        <item x="4"/>
        <item x="9"/>
        <item x="6"/>
        <item t="default"/>
      </items>
    </pivotField>
    <pivotField showAll="0">
      <items count="5">
        <item x="1"/>
        <item x="3"/>
        <item x="2"/>
        <item x="0"/>
        <item t="default"/>
      </items>
    </pivotField>
    <pivotField axis="axisRow" showAll="0">
      <items count="8">
        <item x="2"/>
        <item x="1"/>
        <item x="5"/>
        <item x="3"/>
        <item x="6"/>
        <item x="4"/>
        <item x="0"/>
        <item t="default"/>
      </items>
    </pivotField>
    <pivotField showAll="0"/>
    <pivotField numFmtId="164" showAll="0"/>
    <pivotField numFmtId="164" showAll="0"/>
    <pivotField dataField="1" numFmtId="164" showAll="0"/>
    <pivotField numFmtId="164" showAll="0"/>
  </pivotFields>
  <rowFields count="1">
    <field x="3"/>
  </rowFields>
  <rowItems count="8">
    <i>
      <x/>
    </i>
    <i>
      <x v="1"/>
    </i>
    <i>
      <x v="2"/>
    </i>
    <i>
      <x v="3"/>
    </i>
    <i>
      <x v="4"/>
    </i>
    <i>
      <x v="5"/>
    </i>
    <i>
      <x v="6"/>
    </i>
    <i t="grand">
      <x/>
    </i>
  </rowItems>
  <colItems count="1">
    <i/>
  </colItems>
  <dataFields count="1">
    <dataField name="Sum of Total Sales" fld="7" baseField="0" baseItem="0" numFmtId="165"/>
  </dataFields>
  <chartFormats count="1">
    <chartFormat chart="1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841E66-79FF-4CB9-BFF4-7D03DFC0A0D8}"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pivotFields count="9">
    <pivotField numFmtId="14" showAll="0"/>
    <pivotField showAll="0">
      <items count="11">
        <item x="0"/>
        <item x="8"/>
        <item x="3"/>
        <item x="5"/>
        <item x="7"/>
        <item x="2"/>
        <item x="1"/>
        <item x="4"/>
        <item x="9"/>
        <item x="6"/>
        <item t="default"/>
      </items>
    </pivotField>
    <pivotField axis="axisRow" showAll="0">
      <items count="5">
        <item x="1"/>
        <item x="3"/>
        <item x="2"/>
        <item x="0"/>
        <item t="default"/>
      </items>
    </pivotField>
    <pivotField showAll="0">
      <items count="8">
        <item x="2"/>
        <item x="1"/>
        <item x="5"/>
        <item x="3"/>
        <item x="6"/>
        <item x="4"/>
        <item x="0"/>
        <item t="default"/>
      </items>
    </pivotField>
    <pivotField showAll="0"/>
    <pivotField numFmtId="164" showAll="0"/>
    <pivotField numFmtId="164" showAll="0"/>
    <pivotField dataField="1" numFmtId="164" showAll="0"/>
    <pivotField numFmtId="164" showAll="0"/>
  </pivotFields>
  <rowFields count="1">
    <field x="2"/>
  </rowFields>
  <rowItems count="5">
    <i>
      <x/>
    </i>
    <i>
      <x v="1"/>
    </i>
    <i>
      <x v="2"/>
    </i>
    <i>
      <x v="3"/>
    </i>
    <i t="grand">
      <x/>
    </i>
  </rowItems>
  <colItems count="1">
    <i/>
  </colItems>
  <dataFields count="1">
    <dataField name="Sum of Total Sales" fld="7" baseField="0" baseItem="0" numFmtId="165"/>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2" count="1" selected="0">
            <x v="0"/>
          </reference>
        </references>
      </pivotArea>
    </chartFormat>
    <chartFormat chart="2" format="12">
      <pivotArea type="data" outline="0" fieldPosition="0">
        <references count="2">
          <reference field="4294967294" count="1" selected="0">
            <x v="0"/>
          </reference>
          <reference field="2" count="1" selected="0">
            <x v="1"/>
          </reference>
        </references>
      </pivotArea>
    </chartFormat>
    <chartFormat chart="2" format="13">
      <pivotArea type="data" outline="0" fieldPosition="0">
        <references count="2">
          <reference field="4294967294" count="1" selected="0">
            <x v="0"/>
          </reference>
          <reference field="2" count="1" selected="0">
            <x v="2"/>
          </reference>
        </references>
      </pivotArea>
    </chartFormat>
    <chartFormat chart="2" format="1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 xr10:uid="{3B9F6769-91E7-4540-9F2C-C878747C6B63}" sourceName="Sales Person">
  <pivotTables>
    <pivotTable tabId="4" name="PivotTable1"/>
    <pivotTable tabId="4" name="PivotTable5"/>
    <pivotTable tabId="4" name="PivotTable6"/>
    <pivotTable tabId="4" name="PivotTable7"/>
  </pivotTables>
  <data>
    <tabular pivotCacheId="1533475473">
      <items count="10">
        <i x="0" s="1"/>
        <i x="8" s="1"/>
        <i x="3" s="1"/>
        <i x="5" s="1"/>
        <i x="7" s="1"/>
        <i x="2" s="1"/>
        <i x="1" s="1"/>
        <i x="4" s="1"/>
        <i x="9"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24E9947-1F7D-41EF-AE0D-7578C81096E0}" sourceName="Region">
  <pivotTables>
    <pivotTable tabId="4" name="PivotTable1"/>
    <pivotTable tabId="4" name="PivotTable5"/>
    <pivotTable tabId="4" name="PivotTable6"/>
    <pivotTable tabId="4" name="PivotTable7"/>
  </pivotTables>
  <data>
    <tabular pivotCacheId="1533475473">
      <items count="4">
        <i x="1" s="1"/>
        <i x="3" s="1"/>
        <i x="2"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1355777-809D-46DE-8509-8AD8CFBA1BD4}" sourceName="Product">
  <pivotTables>
    <pivotTable tabId="4" name="PivotTable1"/>
    <pivotTable tabId="4" name="PivotTable5"/>
    <pivotTable tabId="4" name="PivotTable6"/>
    <pivotTable tabId="4" name="PivotTable7"/>
  </pivotTables>
  <data>
    <tabular pivotCacheId="1533475473">
      <items count="7">
        <i x="2" s="1"/>
        <i x="1" s="1"/>
        <i x="5" s="1"/>
        <i x="3" s="1"/>
        <i x="6" s="1"/>
        <i x="4"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xr10:uid="{F2EE46A5-C821-4F44-9234-7F94108E5D0A}" cache="Slicer_Sales_Person" caption="Sales Person" rowHeight="360000"/>
  <slicer name="Region" xr10:uid="{96FE41F4-75A6-4F6D-9C7B-8A225DAF8A52}" cache="Slicer_Region" caption="Region" columnCount="2" rowHeight="247650"/>
  <slicer name="Product" xr10:uid="{FB12B1B0-81A8-4B66-BC69-DDAD73C3D027}" cache="Slicer_Product" caption="Product" rowHeight="39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CD7126-E41F-4E12-B10B-2CDA10DB26C7}" name="Table1" displayName="Table1" ref="A1:I51" totalsRowShown="0" headerRowDxfId="0" dataDxfId="1" headerRowBorderDxfId="8" dataCellStyle="Currency [0]">
  <autoFilter ref="A1:I51" xr:uid="{BBCD7126-E41F-4E12-B10B-2CDA10DB26C7}"/>
  <tableColumns count="9">
    <tableColumn id="1" xr3:uid="{B38FD474-396B-48AE-BC20-BF1321AEB5E1}" name="Date" dataDxfId="7"/>
    <tableColumn id="2" xr3:uid="{533FA349-B9B8-471C-912D-19B3B4C4204C}" name="Sales Person"/>
    <tableColumn id="3" xr3:uid="{2CB8080C-7FEA-4574-99D6-C6F441B3090A}" name="Region"/>
    <tableColumn id="4" xr3:uid="{5243527E-9B54-44A8-A29A-18E8BC90AF65}" name="Product"/>
    <tableColumn id="5" xr3:uid="{22038ADA-AC72-43C3-BFCB-748C9865F945}" name="Units Sold" dataDxfId="6"/>
    <tableColumn id="6" xr3:uid="{485289AD-18CA-4F12-81E9-93804F55DC89}" name="Unit Price" dataDxfId="5" dataCellStyle="Currency [0]">
      <calculatedColumnFormula>IF(D2="Tent",6000,IF(D2="Blender",3500,IF(D2="Action Figure",1200,IF(D2="Novel",1000,IF(D2="Sneakers",4000,IF(D2="Smartphone",10000,IF(D2="moisturizer",600,"No Product Found")))))))</calculatedColumnFormula>
    </tableColumn>
    <tableColumn id="7" xr3:uid="{1B6734A6-17E7-459E-900F-2A4357CC1551}" name="Cost of Goods" dataDxfId="4" dataCellStyle="Currency [0]">
      <calculatedColumnFormula>IF(D2="Tent",4000,IF(D2="Blender",2500,IF(D2="Action Figure",800,IF(D2="Novel",700,IF(D2="Sneakers",3000,IF(D2="Smartphone",7000,IF(D2="moisturizer",400,"No Product Found")))))))</calculatedColumnFormula>
    </tableColumn>
    <tableColumn id="8" xr3:uid="{1DD21BBC-DA0D-4611-975F-288FD221977D}" name="Total Sales" dataDxfId="3" dataCellStyle="Currency [0]">
      <calculatedColumnFormula>F2*E2</calculatedColumnFormula>
    </tableColumn>
    <tableColumn id="9" xr3:uid="{3C87EC22-2FE7-49AC-841E-3411BD66E5FC}" name="Profit" dataDxfId="2" dataCellStyle="Currency [0]">
      <calculatedColumnFormula>H2 - (G2*E2)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3640B-4C24-415A-8A58-98A84E6AD08A}">
  <dimension ref="A3:K14"/>
  <sheetViews>
    <sheetView workbookViewId="0">
      <selection activeCell="I41" sqref="I41"/>
    </sheetView>
  </sheetViews>
  <sheetFormatPr defaultRowHeight="14.4" x14ac:dyDescent="0.3"/>
  <cols>
    <col min="1" max="1" width="12.44140625" bestFit="1" customWidth="1"/>
    <col min="2" max="2" width="16.109375" bestFit="1" customWidth="1"/>
    <col min="4" max="4" width="12.44140625" bestFit="1" customWidth="1"/>
    <col min="5" max="5" width="16.109375" bestFit="1" customWidth="1"/>
    <col min="7" max="7" width="12.44140625" bestFit="1" customWidth="1"/>
    <col min="8" max="8" width="16.109375" bestFit="1" customWidth="1"/>
    <col min="10" max="10" width="12.44140625" bestFit="1" customWidth="1"/>
    <col min="11" max="11" width="15.5546875" bestFit="1" customWidth="1"/>
  </cols>
  <sheetData>
    <row r="3" spans="1:11" x14ac:dyDescent="0.3">
      <c r="A3" s="5" t="s">
        <v>34</v>
      </c>
      <c r="B3" t="s">
        <v>35</v>
      </c>
      <c r="D3" s="5" t="s">
        <v>34</v>
      </c>
      <c r="E3" t="s">
        <v>35</v>
      </c>
      <c r="G3" s="5" t="s">
        <v>34</v>
      </c>
      <c r="H3" t="s">
        <v>35</v>
      </c>
      <c r="J3" s="5" t="s">
        <v>34</v>
      </c>
      <c r="K3" t="s">
        <v>36</v>
      </c>
    </row>
    <row r="4" spans="1:11" x14ac:dyDescent="0.3">
      <c r="A4" s="3" t="s">
        <v>12</v>
      </c>
      <c r="B4" s="7">
        <v>3534400</v>
      </c>
      <c r="D4" s="3" t="s">
        <v>16</v>
      </c>
      <c r="E4" s="7">
        <v>547200</v>
      </c>
      <c r="G4" s="3" t="s">
        <v>8</v>
      </c>
      <c r="H4" s="7">
        <v>1591600</v>
      </c>
      <c r="J4" s="3" t="s">
        <v>16</v>
      </c>
      <c r="K4" s="6">
        <v>456</v>
      </c>
    </row>
    <row r="5" spans="1:11" x14ac:dyDescent="0.3">
      <c r="A5" s="3" t="s">
        <v>18</v>
      </c>
      <c r="B5" s="7">
        <v>2661400</v>
      </c>
      <c r="D5" s="3" t="s">
        <v>13</v>
      </c>
      <c r="E5" s="7">
        <v>2222500</v>
      </c>
      <c r="G5" s="3" t="s">
        <v>25</v>
      </c>
      <c r="H5" s="7">
        <v>677600</v>
      </c>
      <c r="J5" s="3" t="s">
        <v>13</v>
      </c>
      <c r="K5" s="6">
        <v>635</v>
      </c>
    </row>
    <row r="6" spans="1:11" x14ac:dyDescent="0.3">
      <c r="A6" s="3" t="s">
        <v>15</v>
      </c>
      <c r="B6" s="7">
        <v>2870600</v>
      </c>
      <c r="D6" s="3" t="s">
        <v>26</v>
      </c>
      <c r="E6" s="7">
        <v>706800</v>
      </c>
      <c r="G6" s="3" t="s">
        <v>17</v>
      </c>
      <c r="H6" s="7">
        <v>1957000</v>
      </c>
      <c r="J6" s="3" t="s">
        <v>26</v>
      </c>
      <c r="K6" s="6">
        <v>1178</v>
      </c>
    </row>
    <row r="7" spans="1:11" x14ac:dyDescent="0.3">
      <c r="A7" s="3" t="s">
        <v>9</v>
      </c>
      <c r="B7" s="7">
        <v>3878100</v>
      </c>
      <c r="D7" s="3" t="s">
        <v>19</v>
      </c>
      <c r="E7" s="7">
        <v>898000</v>
      </c>
      <c r="G7" s="3" t="s">
        <v>22</v>
      </c>
      <c r="H7" s="7">
        <v>1661400</v>
      </c>
      <c r="J7" s="3" t="s">
        <v>19</v>
      </c>
      <c r="K7" s="6">
        <v>898</v>
      </c>
    </row>
    <row r="8" spans="1:11" x14ac:dyDescent="0.3">
      <c r="A8" s="3" t="s">
        <v>29</v>
      </c>
      <c r="B8" s="7">
        <v>12944500</v>
      </c>
      <c r="D8" s="3" t="s">
        <v>28</v>
      </c>
      <c r="E8" s="7">
        <v>2350000</v>
      </c>
      <c r="G8" s="3" t="s">
        <v>24</v>
      </c>
      <c r="H8" s="7">
        <v>1741200</v>
      </c>
      <c r="J8" s="3" t="s">
        <v>28</v>
      </c>
      <c r="K8" s="6">
        <v>235</v>
      </c>
    </row>
    <row r="9" spans="1:11" x14ac:dyDescent="0.3">
      <c r="D9" s="3" t="s">
        <v>21</v>
      </c>
      <c r="E9" s="7">
        <v>3196000</v>
      </c>
      <c r="G9" s="3" t="s">
        <v>14</v>
      </c>
      <c r="H9" s="7">
        <v>1110000</v>
      </c>
      <c r="J9" s="3" t="s">
        <v>21</v>
      </c>
      <c r="K9" s="6">
        <v>799</v>
      </c>
    </row>
    <row r="10" spans="1:11" x14ac:dyDescent="0.3">
      <c r="D10" s="3" t="s">
        <v>10</v>
      </c>
      <c r="E10" s="7">
        <v>3024000</v>
      </c>
      <c r="G10" s="3" t="s">
        <v>11</v>
      </c>
      <c r="H10" s="7">
        <v>1777400</v>
      </c>
      <c r="J10" s="3" t="s">
        <v>10</v>
      </c>
      <c r="K10" s="6">
        <v>504</v>
      </c>
    </row>
    <row r="11" spans="1:11" x14ac:dyDescent="0.3">
      <c r="D11" s="3" t="s">
        <v>29</v>
      </c>
      <c r="E11" s="7">
        <v>12944500</v>
      </c>
      <c r="G11" s="3" t="s">
        <v>20</v>
      </c>
      <c r="H11" s="7">
        <v>1065400</v>
      </c>
      <c r="J11" s="3" t="s">
        <v>29</v>
      </c>
      <c r="K11" s="6">
        <v>4705</v>
      </c>
    </row>
    <row r="12" spans="1:11" x14ac:dyDescent="0.3">
      <c r="G12" s="3" t="s">
        <v>27</v>
      </c>
      <c r="H12" s="7">
        <v>784400</v>
      </c>
    </row>
    <row r="13" spans="1:11" x14ac:dyDescent="0.3">
      <c r="G13" s="3" t="s">
        <v>23</v>
      </c>
      <c r="H13" s="7">
        <v>578500</v>
      </c>
    </row>
    <row r="14" spans="1:11" x14ac:dyDescent="0.3">
      <c r="G14" s="3" t="s">
        <v>29</v>
      </c>
      <c r="H14" s="7">
        <v>12944500</v>
      </c>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13137-14D5-4228-A4AD-916BBD886E2C}">
  <dimension ref="A1"/>
  <sheetViews>
    <sheetView showGridLines="0" tabSelected="1" zoomScale="70" zoomScaleNormal="70" workbookViewId="0">
      <selection activeCell="AC6" sqref="AC6"/>
    </sheetView>
  </sheetViews>
  <sheetFormatPr defaultRowHeight="14.4" x14ac:dyDescent="0.3"/>
  <cols>
    <col min="1" max="16384" width="8.88671875" style="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lear_Filter">
                <anchor moveWithCells="1" sizeWithCells="1">
                  <from>
                    <xdr:col>28</xdr:col>
                    <xdr:colOff>0</xdr:colOff>
                    <xdr:row>6</xdr:row>
                    <xdr:rowOff>0</xdr:rowOff>
                  </from>
                  <to>
                    <xdr:col>31</xdr:col>
                    <xdr:colOff>0</xdr:colOff>
                    <xdr:row>10</xdr:row>
                    <xdr:rowOff>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CB3DF-9E1D-4E87-B39C-21F41FB7A8AD}">
  <dimension ref="A1:L51"/>
  <sheetViews>
    <sheetView workbookViewId="0">
      <selection activeCell="L4" sqref="L4"/>
    </sheetView>
  </sheetViews>
  <sheetFormatPr defaultRowHeight="14.4" x14ac:dyDescent="0.3"/>
  <cols>
    <col min="1" max="1" width="12.88671875" customWidth="1"/>
    <col min="2" max="2" width="13.44140625" customWidth="1"/>
    <col min="4" max="4" width="15.6640625" customWidth="1"/>
    <col min="5" max="5" width="11.33203125" customWidth="1"/>
    <col min="6" max="6" width="11" customWidth="1"/>
    <col min="7" max="7" width="14.21875" customWidth="1"/>
    <col min="8" max="10" width="13.5546875" customWidth="1"/>
    <col min="11" max="11" width="12.21875" bestFit="1" customWidth="1"/>
    <col min="12" max="12" width="15.33203125" bestFit="1" customWidth="1"/>
  </cols>
  <sheetData>
    <row r="1" spans="1:12" ht="20.100000000000001" customHeight="1" thickBot="1" x14ac:dyDescent="0.35">
      <c r="A1" s="1" t="s">
        <v>0</v>
      </c>
      <c r="B1" s="1" t="s">
        <v>1</v>
      </c>
      <c r="C1" s="1" t="s">
        <v>2</v>
      </c>
      <c r="D1" s="1" t="s">
        <v>3</v>
      </c>
      <c r="E1" s="1" t="s">
        <v>4</v>
      </c>
      <c r="F1" s="1" t="s">
        <v>5</v>
      </c>
      <c r="G1" s="1" t="s">
        <v>6</v>
      </c>
      <c r="H1" s="1" t="s">
        <v>7</v>
      </c>
      <c r="I1" s="1" t="s">
        <v>32</v>
      </c>
      <c r="K1" s="1" t="s">
        <v>29</v>
      </c>
      <c r="L1" s="8">
        <f>SUM(H:H)</f>
        <v>12944500</v>
      </c>
    </row>
    <row r="2" spans="1:12" ht="15" thickTop="1" x14ac:dyDescent="0.3">
      <c r="A2" s="2">
        <v>44246</v>
      </c>
      <c r="B2" t="s">
        <v>8</v>
      </c>
      <c r="C2" t="s">
        <v>9</v>
      </c>
      <c r="D2" t="s">
        <v>10</v>
      </c>
      <c r="E2" s="3">
        <v>84</v>
      </c>
      <c r="F2" s="4">
        <f>IF(D2="Tent",6000,IF(D2="Blender",3500,IF(D2="Action Figure",1200,IF(D2="Novel",1000,IF(D2="Sneakers",4000,IF(D2="Smartphone",10000,IF(D2="moisturizer",600,"No Product Found")))))))</f>
        <v>6000</v>
      </c>
      <c r="G2" s="4">
        <f>IF(D2="Tent",4000,IF(D2="Blender",2500,IF(D2="Action Figure",800,IF(D2="Novel",700,IF(D2="Sneakers",3000,IF(D2="Smartphone",7000,IF(D2="moisturizer",400,"No Product Found")))))))</f>
        <v>4000</v>
      </c>
      <c r="H2" s="4">
        <f>F2*E2</f>
        <v>504000</v>
      </c>
      <c r="I2" s="4">
        <f>H2 - (G2*E2)</f>
        <v>168000</v>
      </c>
    </row>
    <row r="3" spans="1:12" ht="15" thickBot="1" x14ac:dyDescent="0.35">
      <c r="A3" s="2">
        <v>44446</v>
      </c>
      <c r="B3" t="s">
        <v>11</v>
      </c>
      <c r="C3" t="s">
        <v>12</v>
      </c>
      <c r="D3" t="s">
        <v>13</v>
      </c>
      <c r="E3" s="3">
        <v>128</v>
      </c>
      <c r="F3" s="4">
        <f t="shared" ref="F3:F51" si="0">IF(D3="Tent",6000,IF(D3="Blender",3500,IF(D3="Action Figure",1200,IF(D3="Novel",1000,IF(D3="Sneakers",4000,IF(D3="Smartphone",10000,IF(D3="moisturizer",600,"No Product Found")))))))</f>
        <v>3500</v>
      </c>
      <c r="G3" s="4">
        <f t="shared" ref="G3:G51" si="1">IF(D3="Tent",4000,IF(D3="Blender",2500,IF(D3="Action Figure",800,IF(D3="Novel",700,IF(D3="Sneakers",3000,IF(D3="Smartphone",7000,IF(D3="moisturizer",400,"No Product Found")))))))</f>
        <v>2500</v>
      </c>
      <c r="H3" s="4">
        <f t="shared" ref="H3:H51" si="2">F3*E3</f>
        <v>448000</v>
      </c>
      <c r="I3" s="4">
        <f t="shared" ref="I3:I51" si="3">H3 - (G3*E3)</f>
        <v>128000</v>
      </c>
      <c r="K3" s="1" t="s">
        <v>30</v>
      </c>
      <c r="L3">
        <f>SUM(E:E)</f>
        <v>4705</v>
      </c>
    </row>
    <row r="4" spans="1:12" ht="15" thickTop="1" x14ac:dyDescent="0.3">
      <c r="A4" s="2">
        <v>44230</v>
      </c>
      <c r="B4" t="s">
        <v>14</v>
      </c>
      <c r="C4" t="s">
        <v>15</v>
      </c>
      <c r="D4" t="s">
        <v>16</v>
      </c>
      <c r="E4" s="3">
        <v>136</v>
      </c>
      <c r="F4" s="4">
        <f t="shared" si="0"/>
        <v>1200</v>
      </c>
      <c r="G4" s="4">
        <f t="shared" si="1"/>
        <v>800</v>
      </c>
      <c r="H4" s="4">
        <f t="shared" si="2"/>
        <v>163200</v>
      </c>
      <c r="I4" s="4">
        <f t="shared" si="3"/>
        <v>54400</v>
      </c>
    </row>
    <row r="5" spans="1:12" ht="15" thickBot="1" x14ac:dyDescent="0.35">
      <c r="A5" s="2">
        <v>44085</v>
      </c>
      <c r="B5" t="s">
        <v>17</v>
      </c>
      <c r="C5" t="s">
        <v>18</v>
      </c>
      <c r="D5" t="s">
        <v>19</v>
      </c>
      <c r="E5" s="3">
        <v>91</v>
      </c>
      <c r="F5" s="4">
        <f t="shared" si="0"/>
        <v>1000</v>
      </c>
      <c r="G5" s="4">
        <f t="shared" si="1"/>
        <v>700</v>
      </c>
      <c r="H5" s="4">
        <f t="shared" si="2"/>
        <v>91000</v>
      </c>
      <c r="I5" s="4">
        <f t="shared" si="3"/>
        <v>27300</v>
      </c>
      <c r="K5" s="1" t="s">
        <v>31</v>
      </c>
      <c r="L5" s="8">
        <f>SUM(I:I)</f>
        <v>3834400</v>
      </c>
    </row>
    <row r="6" spans="1:12" ht="15" thickTop="1" x14ac:dyDescent="0.3">
      <c r="A6" s="2">
        <v>44462</v>
      </c>
      <c r="B6" t="s">
        <v>20</v>
      </c>
      <c r="C6" t="s">
        <v>9</v>
      </c>
      <c r="D6" t="s">
        <v>21</v>
      </c>
      <c r="E6" s="3">
        <v>110</v>
      </c>
      <c r="F6" s="4">
        <f t="shared" si="0"/>
        <v>4000</v>
      </c>
      <c r="G6" s="4">
        <f t="shared" si="1"/>
        <v>3000</v>
      </c>
      <c r="H6" s="4">
        <f t="shared" si="2"/>
        <v>440000</v>
      </c>
      <c r="I6" s="4">
        <f t="shared" si="3"/>
        <v>110000</v>
      </c>
      <c r="L6" s="8"/>
    </row>
    <row r="7" spans="1:12" ht="15" thickBot="1" x14ac:dyDescent="0.35">
      <c r="A7" s="2">
        <v>44105</v>
      </c>
      <c r="B7" t="s">
        <v>22</v>
      </c>
      <c r="C7" t="s">
        <v>12</v>
      </c>
      <c r="D7" t="s">
        <v>16</v>
      </c>
      <c r="E7" s="3">
        <v>51</v>
      </c>
      <c r="F7" s="4">
        <f t="shared" si="0"/>
        <v>1200</v>
      </c>
      <c r="G7" s="4">
        <f t="shared" si="1"/>
        <v>800</v>
      </c>
      <c r="H7" s="4">
        <f t="shared" si="2"/>
        <v>61200</v>
      </c>
      <c r="I7" s="4">
        <f t="shared" si="3"/>
        <v>20400</v>
      </c>
      <c r="K7" s="1" t="s">
        <v>33</v>
      </c>
      <c r="L7" s="8">
        <f>AVERAGE(H:H)</f>
        <v>258890</v>
      </c>
    </row>
    <row r="8" spans="1:12" ht="15" thickTop="1" x14ac:dyDescent="0.3">
      <c r="A8" s="2">
        <v>44413</v>
      </c>
      <c r="B8" t="s">
        <v>23</v>
      </c>
      <c r="C8" t="s">
        <v>18</v>
      </c>
      <c r="D8" t="s">
        <v>19</v>
      </c>
      <c r="E8" s="3">
        <v>78</v>
      </c>
      <c r="F8" s="4">
        <f t="shared" si="0"/>
        <v>1000</v>
      </c>
      <c r="G8" s="4">
        <f t="shared" si="1"/>
        <v>700</v>
      </c>
      <c r="H8" s="4">
        <f t="shared" si="2"/>
        <v>78000</v>
      </c>
      <c r="I8" s="4">
        <f t="shared" si="3"/>
        <v>23400</v>
      </c>
    </row>
    <row r="9" spans="1:12" x14ac:dyDescent="0.3">
      <c r="A9" s="2">
        <v>44141</v>
      </c>
      <c r="B9" t="s">
        <v>24</v>
      </c>
      <c r="C9" t="s">
        <v>15</v>
      </c>
      <c r="D9" t="s">
        <v>10</v>
      </c>
      <c r="E9" s="3">
        <v>146</v>
      </c>
      <c r="F9" s="4">
        <f t="shared" si="0"/>
        <v>6000</v>
      </c>
      <c r="G9" s="4">
        <f t="shared" si="1"/>
        <v>4000</v>
      </c>
      <c r="H9" s="4">
        <f t="shared" si="2"/>
        <v>876000</v>
      </c>
      <c r="I9" s="4">
        <f t="shared" si="3"/>
        <v>292000</v>
      </c>
    </row>
    <row r="10" spans="1:12" x14ac:dyDescent="0.3">
      <c r="A10" s="2">
        <v>44223</v>
      </c>
      <c r="B10" t="s">
        <v>25</v>
      </c>
      <c r="C10" t="s">
        <v>9</v>
      </c>
      <c r="D10" t="s">
        <v>26</v>
      </c>
      <c r="E10" s="3">
        <v>101</v>
      </c>
      <c r="F10" s="4">
        <f t="shared" si="0"/>
        <v>600</v>
      </c>
      <c r="G10" s="4">
        <f t="shared" si="1"/>
        <v>400</v>
      </c>
      <c r="H10" s="4">
        <f t="shared" si="2"/>
        <v>60600</v>
      </c>
      <c r="I10" s="4">
        <f t="shared" si="3"/>
        <v>20200</v>
      </c>
    </row>
    <row r="11" spans="1:12" x14ac:dyDescent="0.3">
      <c r="A11" s="2">
        <v>44442</v>
      </c>
      <c r="B11" t="s">
        <v>27</v>
      </c>
      <c r="C11" t="s">
        <v>15</v>
      </c>
      <c r="D11" t="s">
        <v>10</v>
      </c>
      <c r="E11" s="3">
        <v>52</v>
      </c>
      <c r="F11" s="4">
        <f t="shared" si="0"/>
        <v>6000</v>
      </c>
      <c r="G11" s="4">
        <f t="shared" si="1"/>
        <v>4000</v>
      </c>
      <c r="H11" s="4">
        <f t="shared" si="2"/>
        <v>312000</v>
      </c>
      <c r="I11" s="4">
        <f t="shared" si="3"/>
        <v>104000</v>
      </c>
    </row>
    <row r="12" spans="1:12" x14ac:dyDescent="0.3">
      <c r="A12" s="2">
        <v>44469</v>
      </c>
      <c r="B12" t="s">
        <v>27</v>
      </c>
      <c r="C12" t="s">
        <v>12</v>
      </c>
      <c r="D12" t="s">
        <v>16</v>
      </c>
      <c r="E12" s="3">
        <v>55</v>
      </c>
      <c r="F12" s="4">
        <f t="shared" si="0"/>
        <v>1200</v>
      </c>
      <c r="G12" s="4">
        <f t="shared" si="1"/>
        <v>800</v>
      </c>
      <c r="H12" s="4">
        <f t="shared" si="2"/>
        <v>66000</v>
      </c>
      <c r="I12" s="4">
        <f t="shared" si="3"/>
        <v>22000</v>
      </c>
    </row>
    <row r="13" spans="1:12" x14ac:dyDescent="0.3">
      <c r="A13" s="2">
        <v>44084</v>
      </c>
      <c r="B13" t="s">
        <v>27</v>
      </c>
      <c r="C13" t="s">
        <v>15</v>
      </c>
      <c r="D13" t="s">
        <v>19</v>
      </c>
      <c r="E13" s="3">
        <v>137</v>
      </c>
      <c r="F13" s="4">
        <f t="shared" si="0"/>
        <v>1000</v>
      </c>
      <c r="G13" s="4">
        <f t="shared" si="1"/>
        <v>700</v>
      </c>
      <c r="H13" s="4">
        <f t="shared" si="2"/>
        <v>137000</v>
      </c>
      <c r="I13" s="4">
        <f t="shared" si="3"/>
        <v>41100</v>
      </c>
    </row>
    <row r="14" spans="1:12" x14ac:dyDescent="0.3">
      <c r="A14" s="2">
        <v>44404</v>
      </c>
      <c r="B14" t="s">
        <v>24</v>
      </c>
      <c r="C14" t="s">
        <v>15</v>
      </c>
      <c r="D14" t="s">
        <v>13</v>
      </c>
      <c r="E14" s="3">
        <v>96</v>
      </c>
      <c r="F14" s="4">
        <f t="shared" si="0"/>
        <v>3500</v>
      </c>
      <c r="G14" s="4">
        <f t="shared" si="1"/>
        <v>2500</v>
      </c>
      <c r="H14" s="4">
        <f t="shared" si="2"/>
        <v>336000</v>
      </c>
      <c r="I14" s="4">
        <f t="shared" si="3"/>
        <v>96000</v>
      </c>
    </row>
    <row r="15" spans="1:12" x14ac:dyDescent="0.3">
      <c r="A15" s="2">
        <v>44113</v>
      </c>
      <c r="B15" t="s">
        <v>25</v>
      </c>
      <c r="C15" t="s">
        <v>12</v>
      </c>
      <c r="D15" t="s">
        <v>21</v>
      </c>
      <c r="E15" s="3">
        <v>52</v>
      </c>
      <c r="F15" s="4">
        <f t="shared" si="0"/>
        <v>4000</v>
      </c>
      <c r="G15" s="4">
        <f t="shared" si="1"/>
        <v>3000</v>
      </c>
      <c r="H15" s="4">
        <f t="shared" si="2"/>
        <v>208000</v>
      </c>
      <c r="I15" s="4">
        <f t="shared" si="3"/>
        <v>52000</v>
      </c>
    </row>
    <row r="16" spans="1:12" x14ac:dyDescent="0.3">
      <c r="A16" s="2">
        <v>44292</v>
      </c>
      <c r="B16" t="s">
        <v>17</v>
      </c>
      <c r="C16" t="s">
        <v>9</v>
      </c>
      <c r="D16" t="s">
        <v>13</v>
      </c>
      <c r="E16" s="3">
        <v>76</v>
      </c>
      <c r="F16" s="4">
        <f t="shared" si="0"/>
        <v>3500</v>
      </c>
      <c r="G16" s="4">
        <f t="shared" si="1"/>
        <v>2500</v>
      </c>
      <c r="H16" s="4">
        <f t="shared" si="2"/>
        <v>266000</v>
      </c>
      <c r="I16" s="4">
        <f t="shared" si="3"/>
        <v>76000</v>
      </c>
    </row>
    <row r="17" spans="1:9" x14ac:dyDescent="0.3">
      <c r="A17" s="2">
        <v>44362</v>
      </c>
      <c r="B17" t="s">
        <v>11</v>
      </c>
      <c r="C17" t="s">
        <v>18</v>
      </c>
      <c r="D17" t="s">
        <v>21</v>
      </c>
      <c r="E17" s="3">
        <v>145</v>
      </c>
      <c r="F17" s="4">
        <f t="shared" si="0"/>
        <v>4000</v>
      </c>
      <c r="G17" s="4">
        <f t="shared" si="1"/>
        <v>3000</v>
      </c>
      <c r="H17" s="4">
        <f t="shared" si="2"/>
        <v>580000</v>
      </c>
      <c r="I17" s="4">
        <f t="shared" si="3"/>
        <v>145000</v>
      </c>
    </row>
    <row r="18" spans="1:9" x14ac:dyDescent="0.3">
      <c r="A18" s="2">
        <v>44083</v>
      </c>
      <c r="B18" t="s">
        <v>8</v>
      </c>
      <c r="C18" t="s">
        <v>15</v>
      </c>
      <c r="D18" t="s">
        <v>26</v>
      </c>
      <c r="E18" s="3">
        <v>83</v>
      </c>
      <c r="F18" s="4">
        <f t="shared" si="0"/>
        <v>600</v>
      </c>
      <c r="G18" s="4">
        <f t="shared" si="1"/>
        <v>400</v>
      </c>
      <c r="H18" s="4">
        <f t="shared" si="2"/>
        <v>49800</v>
      </c>
      <c r="I18" s="4">
        <f t="shared" si="3"/>
        <v>16600</v>
      </c>
    </row>
    <row r="19" spans="1:9" x14ac:dyDescent="0.3">
      <c r="A19" s="2">
        <v>44421</v>
      </c>
      <c r="B19" t="s">
        <v>20</v>
      </c>
      <c r="C19" t="s">
        <v>15</v>
      </c>
      <c r="D19" t="s">
        <v>19</v>
      </c>
      <c r="E19" s="3">
        <v>91</v>
      </c>
      <c r="F19" s="4">
        <f t="shared" si="0"/>
        <v>1000</v>
      </c>
      <c r="G19" s="4">
        <f t="shared" si="1"/>
        <v>700</v>
      </c>
      <c r="H19" s="4">
        <f t="shared" si="2"/>
        <v>91000</v>
      </c>
      <c r="I19" s="4">
        <f t="shared" si="3"/>
        <v>27300</v>
      </c>
    </row>
    <row r="20" spans="1:9" x14ac:dyDescent="0.3">
      <c r="A20" s="2">
        <v>44070</v>
      </c>
      <c r="B20" t="s">
        <v>22</v>
      </c>
      <c r="C20" t="s">
        <v>9</v>
      </c>
      <c r="D20" t="s">
        <v>28</v>
      </c>
      <c r="E20" s="3">
        <v>108</v>
      </c>
      <c r="F20" s="4">
        <f t="shared" si="0"/>
        <v>10000</v>
      </c>
      <c r="G20" s="4">
        <f t="shared" si="1"/>
        <v>7000</v>
      </c>
      <c r="H20" s="4">
        <f t="shared" si="2"/>
        <v>1080000</v>
      </c>
      <c r="I20" s="4">
        <f t="shared" si="3"/>
        <v>324000</v>
      </c>
    </row>
    <row r="21" spans="1:9" x14ac:dyDescent="0.3">
      <c r="A21" s="2">
        <v>44293</v>
      </c>
      <c r="B21" t="s">
        <v>14</v>
      </c>
      <c r="C21" t="s">
        <v>18</v>
      </c>
      <c r="D21" t="s">
        <v>21</v>
      </c>
      <c r="E21" s="3">
        <v>144</v>
      </c>
      <c r="F21" s="4">
        <f t="shared" si="0"/>
        <v>4000</v>
      </c>
      <c r="G21" s="4">
        <f t="shared" si="1"/>
        <v>3000</v>
      </c>
      <c r="H21" s="4">
        <f t="shared" si="2"/>
        <v>576000</v>
      </c>
      <c r="I21" s="4">
        <f t="shared" si="3"/>
        <v>144000</v>
      </c>
    </row>
    <row r="22" spans="1:9" x14ac:dyDescent="0.3">
      <c r="A22" s="2">
        <v>43990</v>
      </c>
      <c r="B22" t="s">
        <v>20</v>
      </c>
      <c r="C22" t="s">
        <v>15</v>
      </c>
      <c r="D22" t="s">
        <v>26</v>
      </c>
      <c r="E22" s="3">
        <v>92</v>
      </c>
      <c r="F22" s="4">
        <f t="shared" si="0"/>
        <v>600</v>
      </c>
      <c r="G22" s="4">
        <f t="shared" si="1"/>
        <v>400</v>
      </c>
      <c r="H22" s="4">
        <f t="shared" si="2"/>
        <v>55200</v>
      </c>
      <c r="I22" s="4">
        <f t="shared" si="3"/>
        <v>18400</v>
      </c>
    </row>
    <row r="23" spans="1:9" x14ac:dyDescent="0.3">
      <c r="A23" s="2">
        <v>44551</v>
      </c>
      <c r="B23" t="s">
        <v>24</v>
      </c>
      <c r="C23" t="s">
        <v>9</v>
      </c>
      <c r="D23" t="s">
        <v>10</v>
      </c>
      <c r="E23" s="3">
        <v>71</v>
      </c>
      <c r="F23" s="4">
        <f t="shared" si="0"/>
        <v>6000</v>
      </c>
      <c r="G23" s="4">
        <f t="shared" si="1"/>
        <v>4000</v>
      </c>
      <c r="H23" s="4">
        <f t="shared" si="2"/>
        <v>426000</v>
      </c>
      <c r="I23" s="4">
        <f t="shared" si="3"/>
        <v>142000</v>
      </c>
    </row>
    <row r="24" spans="1:9" x14ac:dyDescent="0.3">
      <c r="A24" s="2">
        <v>44418</v>
      </c>
      <c r="B24" t="s">
        <v>8</v>
      </c>
      <c r="C24" t="s">
        <v>12</v>
      </c>
      <c r="D24" t="s">
        <v>26</v>
      </c>
      <c r="E24" s="3">
        <v>103</v>
      </c>
      <c r="F24" s="4">
        <f t="shared" si="0"/>
        <v>600</v>
      </c>
      <c r="G24" s="4">
        <f t="shared" si="1"/>
        <v>400</v>
      </c>
      <c r="H24" s="4">
        <f t="shared" si="2"/>
        <v>61800</v>
      </c>
      <c r="I24" s="4">
        <f t="shared" si="3"/>
        <v>20600</v>
      </c>
    </row>
    <row r="25" spans="1:9" x14ac:dyDescent="0.3">
      <c r="A25" s="2">
        <v>44532</v>
      </c>
      <c r="B25" t="s">
        <v>27</v>
      </c>
      <c r="C25" t="s">
        <v>18</v>
      </c>
      <c r="D25" t="s">
        <v>19</v>
      </c>
      <c r="E25" s="3">
        <v>55</v>
      </c>
      <c r="F25" s="4">
        <f t="shared" si="0"/>
        <v>1000</v>
      </c>
      <c r="G25" s="4">
        <f t="shared" si="1"/>
        <v>700</v>
      </c>
      <c r="H25" s="4">
        <f t="shared" si="2"/>
        <v>55000</v>
      </c>
      <c r="I25" s="4">
        <f t="shared" si="3"/>
        <v>16500</v>
      </c>
    </row>
    <row r="26" spans="1:9" x14ac:dyDescent="0.3">
      <c r="A26" s="2">
        <v>44438</v>
      </c>
      <c r="B26" t="s">
        <v>22</v>
      </c>
      <c r="C26" t="s">
        <v>12</v>
      </c>
      <c r="D26" t="s">
        <v>21</v>
      </c>
      <c r="E26" s="3">
        <v>93</v>
      </c>
      <c r="F26" s="4">
        <f t="shared" si="0"/>
        <v>4000</v>
      </c>
      <c r="G26" s="4">
        <f t="shared" si="1"/>
        <v>3000</v>
      </c>
      <c r="H26" s="4">
        <f t="shared" si="2"/>
        <v>372000</v>
      </c>
      <c r="I26" s="4">
        <f t="shared" si="3"/>
        <v>93000</v>
      </c>
    </row>
    <row r="27" spans="1:9" x14ac:dyDescent="0.3">
      <c r="A27" s="2">
        <v>43971</v>
      </c>
      <c r="B27" t="s">
        <v>14</v>
      </c>
      <c r="C27" t="s">
        <v>15</v>
      </c>
      <c r="D27" t="s">
        <v>26</v>
      </c>
      <c r="E27" s="3">
        <v>143</v>
      </c>
      <c r="F27" s="4">
        <f t="shared" si="0"/>
        <v>600</v>
      </c>
      <c r="G27" s="4">
        <f t="shared" si="1"/>
        <v>400</v>
      </c>
      <c r="H27" s="4">
        <f t="shared" si="2"/>
        <v>85800</v>
      </c>
      <c r="I27" s="4">
        <f t="shared" si="3"/>
        <v>28600</v>
      </c>
    </row>
    <row r="28" spans="1:9" x14ac:dyDescent="0.3">
      <c r="A28" s="2">
        <v>44452</v>
      </c>
      <c r="B28" t="s">
        <v>23</v>
      </c>
      <c r="C28" t="s">
        <v>9</v>
      </c>
      <c r="D28" t="s">
        <v>13</v>
      </c>
      <c r="E28" s="3">
        <v>143</v>
      </c>
      <c r="F28" s="4">
        <f t="shared" si="0"/>
        <v>3500</v>
      </c>
      <c r="G28" s="4">
        <f t="shared" si="1"/>
        <v>2500</v>
      </c>
      <c r="H28" s="4">
        <f t="shared" si="2"/>
        <v>500500</v>
      </c>
      <c r="I28" s="4">
        <f t="shared" si="3"/>
        <v>143000</v>
      </c>
    </row>
    <row r="29" spans="1:9" x14ac:dyDescent="0.3">
      <c r="A29" s="2">
        <v>44496</v>
      </c>
      <c r="B29" t="s">
        <v>25</v>
      </c>
      <c r="C29" t="s">
        <v>18</v>
      </c>
      <c r="D29" t="s">
        <v>26</v>
      </c>
      <c r="E29" s="3">
        <v>99</v>
      </c>
      <c r="F29" s="4">
        <f t="shared" si="0"/>
        <v>600</v>
      </c>
      <c r="G29" s="4">
        <f t="shared" si="1"/>
        <v>400</v>
      </c>
      <c r="H29" s="4">
        <f t="shared" si="2"/>
        <v>59400</v>
      </c>
      <c r="I29" s="4">
        <f t="shared" si="3"/>
        <v>19800</v>
      </c>
    </row>
    <row r="30" spans="1:9" x14ac:dyDescent="0.3">
      <c r="A30" s="2">
        <v>44187</v>
      </c>
      <c r="B30" t="s">
        <v>17</v>
      </c>
      <c r="C30" t="s">
        <v>9</v>
      </c>
      <c r="D30" t="s">
        <v>19</v>
      </c>
      <c r="E30" s="3">
        <v>120</v>
      </c>
      <c r="F30" s="4">
        <f t="shared" si="0"/>
        <v>1000</v>
      </c>
      <c r="G30" s="4">
        <f t="shared" si="1"/>
        <v>700</v>
      </c>
      <c r="H30" s="4">
        <f t="shared" si="2"/>
        <v>120000</v>
      </c>
      <c r="I30" s="4">
        <f t="shared" si="3"/>
        <v>36000</v>
      </c>
    </row>
    <row r="31" spans="1:9" x14ac:dyDescent="0.3">
      <c r="A31" s="2">
        <v>44405</v>
      </c>
      <c r="B31" t="s">
        <v>11</v>
      </c>
      <c r="C31" t="s">
        <v>15</v>
      </c>
      <c r="D31" t="s">
        <v>13</v>
      </c>
      <c r="E31" s="3">
        <v>66</v>
      </c>
      <c r="F31" s="4">
        <f t="shared" si="0"/>
        <v>3500</v>
      </c>
      <c r="G31" s="4">
        <f t="shared" si="1"/>
        <v>2500</v>
      </c>
      <c r="H31" s="4">
        <f t="shared" si="2"/>
        <v>231000</v>
      </c>
      <c r="I31" s="4">
        <f t="shared" si="3"/>
        <v>66000</v>
      </c>
    </row>
    <row r="32" spans="1:9" x14ac:dyDescent="0.3">
      <c r="A32" s="2">
        <v>44103</v>
      </c>
      <c r="B32" t="s">
        <v>25</v>
      </c>
      <c r="C32" t="s">
        <v>18</v>
      </c>
      <c r="D32" t="s">
        <v>16</v>
      </c>
      <c r="E32" s="3">
        <v>88</v>
      </c>
      <c r="F32" s="4">
        <f t="shared" si="0"/>
        <v>1200</v>
      </c>
      <c r="G32" s="4">
        <f t="shared" si="1"/>
        <v>800</v>
      </c>
      <c r="H32" s="4">
        <f t="shared" si="2"/>
        <v>105600</v>
      </c>
      <c r="I32" s="4">
        <f t="shared" si="3"/>
        <v>35200</v>
      </c>
    </row>
    <row r="33" spans="1:9" x14ac:dyDescent="0.3">
      <c r="A33" s="2">
        <v>44126</v>
      </c>
      <c r="B33" t="s">
        <v>17</v>
      </c>
      <c r="C33" t="s">
        <v>12</v>
      </c>
      <c r="D33" t="s">
        <v>28</v>
      </c>
      <c r="E33" s="3">
        <v>127</v>
      </c>
      <c r="F33" s="4">
        <f t="shared" si="0"/>
        <v>10000</v>
      </c>
      <c r="G33" s="4">
        <f t="shared" si="1"/>
        <v>7000</v>
      </c>
      <c r="H33" s="4">
        <f t="shared" si="2"/>
        <v>1270000</v>
      </c>
      <c r="I33" s="4">
        <f t="shared" si="3"/>
        <v>381000</v>
      </c>
    </row>
    <row r="34" spans="1:9" x14ac:dyDescent="0.3">
      <c r="A34" s="2">
        <v>43970</v>
      </c>
      <c r="B34" t="s">
        <v>20</v>
      </c>
      <c r="C34" t="s">
        <v>9</v>
      </c>
      <c r="D34" t="s">
        <v>21</v>
      </c>
      <c r="E34" s="3">
        <v>67</v>
      </c>
      <c r="F34" s="4">
        <f t="shared" si="0"/>
        <v>4000</v>
      </c>
      <c r="G34" s="4">
        <f t="shared" si="1"/>
        <v>3000</v>
      </c>
      <c r="H34" s="4">
        <f t="shared" si="2"/>
        <v>268000</v>
      </c>
      <c r="I34" s="4">
        <f t="shared" si="3"/>
        <v>67000</v>
      </c>
    </row>
    <row r="35" spans="1:9" x14ac:dyDescent="0.3">
      <c r="A35" s="2">
        <v>44536</v>
      </c>
      <c r="B35" t="s">
        <v>11</v>
      </c>
      <c r="C35" t="s">
        <v>12</v>
      </c>
      <c r="D35" t="s">
        <v>16</v>
      </c>
      <c r="E35" s="3">
        <v>67</v>
      </c>
      <c r="F35" s="4">
        <f t="shared" si="0"/>
        <v>1200</v>
      </c>
      <c r="G35" s="4">
        <f t="shared" si="1"/>
        <v>800</v>
      </c>
      <c r="H35" s="4">
        <f t="shared" si="2"/>
        <v>80400</v>
      </c>
      <c r="I35" s="4">
        <f t="shared" si="3"/>
        <v>26800</v>
      </c>
    </row>
    <row r="36" spans="1:9" x14ac:dyDescent="0.3">
      <c r="A36" s="2">
        <v>44069</v>
      </c>
      <c r="B36" t="s">
        <v>27</v>
      </c>
      <c r="C36" t="s">
        <v>15</v>
      </c>
      <c r="D36" t="s">
        <v>19</v>
      </c>
      <c r="E36" s="3">
        <v>149</v>
      </c>
      <c r="F36" s="4">
        <f t="shared" si="0"/>
        <v>1000</v>
      </c>
      <c r="G36" s="4">
        <f t="shared" si="1"/>
        <v>700</v>
      </c>
      <c r="H36" s="4">
        <f t="shared" si="2"/>
        <v>149000</v>
      </c>
      <c r="I36" s="4">
        <f t="shared" si="3"/>
        <v>44700</v>
      </c>
    </row>
    <row r="37" spans="1:9" x14ac:dyDescent="0.3">
      <c r="A37" s="2">
        <v>44378</v>
      </c>
      <c r="B37" t="s">
        <v>20</v>
      </c>
      <c r="C37" t="s">
        <v>18</v>
      </c>
      <c r="D37" t="s">
        <v>26</v>
      </c>
      <c r="E37" s="3">
        <v>104</v>
      </c>
      <c r="F37" s="4">
        <f t="shared" si="0"/>
        <v>600</v>
      </c>
      <c r="G37" s="4">
        <f t="shared" si="1"/>
        <v>400</v>
      </c>
      <c r="H37" s="4">
        <f t="shared" si="2"/>
        <v>62400</v>
      </c>
      <c r="I37" s="4">
        <f t="shared" si="3"/>
        <v>20800</v>
      </c>
    </row>
    <row r="38" spans="1:9" x14ac:dyDescent="0.3">
      <c r="A38" s="2">
        <v>44404</v>
      </c>
      <c r="B38" t="s">
        <v>24</v>
      </c>
      <c r="C38" t="s">
        <v>9</v>
      </c>
      <c r="D38" t="s">
        <v>26</v>
      </c>
      <c r="E38" s="3">
        <v>57</v>
      </c>
      <c r="F38" s="4">
        <f t="shared" si="0"/>
        <v>600</v>
      </c>
      <c r="G38" s="4">
        <f t="shared" si="1"/>
        <v>400</v>
      </c>
      <c r="H38" s="4">
        <f t="shared" si="2"/>
        <v>34200</v>
      </c>
      <c r="I38" s="4">
        <f t="shared" si="3"/>
        <v>11400</v>
      </c>
    </row>
    <row r="39" spans="1:9" x14ac:dyDescent="0.3">
      <c r="A39" s="2">
        <v>44109</v>
      </c>
      <c r="B39" t="s">
        <v>14</v>
      </c>
      <c r="C39" t="s">
        <v>12</v>
      </c>
      <c r="D39" t="s">
        <v>26</v>
      </c>
      <c r="E39" s="3">
        <v>90</v>
      </c>
      <c r="F39" s="4">
        <f t="shared" si="0"/>
        <v>600</v>
      </c>
      <c r="G39" s="4">
        <f t="shared" si="1"/>
        <v>400</v>
      </c>
      <c r="H39" s="4">
        <f t="shared" si="2"/>
        <v>54000</v>
      </c>
      <c r="I39" s="4">
        <f t="shared" si="3"/>
        <v>18000</v>
      </c>
    </row>
    <row r="40" spans="1:9" x14ac:dyDescent="0.3">
      <c r="A40" s="2">
        <v>44076</v>
      </c>
      <c r="B40" t="s">
        <v>22</v>
      </c>
      <c r="C40" t="s">
        <v>15</v>
      </c>
      <c r="D40" t="s">
        <v>26</v>
      </c>
      <c r="E40" s="3">
        <v>67</v>
      </c>
      <c r="F40" s="4">
        <f t="shared" si="0"/>
        <v>600</v>
      </c>
      <c r="G40" s="4">
        <f t="shared" si="1"/>
        <v>400</v>
      </c>
      <c r="H40" s="4">
        <f t="shared" si="2"/>
        <v>40200</v>
      </c>
      <c r="I40" s="4">
        <f t="shared" si="3"/>
        <v>13400</v>
      </c>
    </row>
    <row r="41" spans="1:9" x14ac:dyDescent="0.3">
      <c r="A41" s="2">
        <v>44441</v>
      </c>
      <c r="B41" t="s">
        <v>8</v>
      </c>
      <c r="C41" t="s">
        <v>18</v>
      </c>
      <c r="D41" t="s">
        <v>21</v>
      </c>
      <c r="E41" s="3">
        <v>127</v>
      </c>
      <c r="F41" s="4">
        <f t="shared" si="0"/>
        <v>4000</v>
      </c>
      <c r="G41" s="4">
        <f t="shared" si="1"/>
        <v>3000</v>
      </c>
      <c r="H41" s="4">
        <f t="shared" si="2"/>
        <v>508000</v>
      </c>
      <c r="I41" s="4">
        <f t="shared" si="3"/>
        <v>127000</v>
      </c>
    </row>
    <row r="42" spans="1:9" x14ac:dyDescent="0.3">
      <c r="A42" s="2">
        <v>44299</v>
      </c>
      <c r="B42" t="s">
        <v>22</v>
      </c>
      <c r="C42" t="s">
        <v>9</v>
      </c>
      <c r="D42" t="s">
        <v>19</v>
      </c>
      <c r="E42" s="3">
        <v>108</v>
      </c>
      <c r="F42" s="4">
        <f t="shared" si="0"/>
        <v>1000</v>
      </c>
      <c r="G42" s="4">
        <f t="shared" si="1"/>
        <v>700</v>
      </c>
      <c r="H42" s="4">
        <f t="shared" si="2"/>
        <v>108000</v>
      </c>
      <c r="I42" s="4">
        <f t="shared" si="3"/>
        <v>32400</v>
      </c>
    </row>
    <row r="43" spans="1:9" x14ac:dyDescent="0.3">
      <c r="A43" s="2">
        <v>44322</v>
      </c>
      <c r="B43" t="s">
        <v>14</v>
      </c>
      <c r="C43" t="s">
        <v>12</v>
      </c>
      <c r="D43" t="s">
        <v>13</v>
      </c>
      <c r="E43" s="3">
        <v>66</v>
      </c>
      <c r="F43" s="4">
        <f t="shared" si="0"/>
        <v>3500</v>
      </c>
      <c r="G43" s="4">
        <f t="shared" si="1"/>
        <v>2500</v>
      </c>
      <c r="H43" s="4">
        <f t="shared" si="2"/>
        <v>231000</v>
      </c>
      <c r="I43" s="4">
        <f t="shared" si="3"/>
        <v>66000</v>
      </c>
    </row>
    <row r="44" spans="1:9" x14ac:dyDescent="0.3">
      <c r="A44" s="2">
        <v>44211</v>
      </c>
      <c r="B44" t="s">
        <v>8</v>
      </c>
      <c r="C44" t="s">
        <v>18</v>
      </c>
      <c r="D44" t="s">
        <v>10</v>
      </c>
      <c r="E44" s="3">
        <v>78</v>
      </c>
      <c r="F44" s="4">
        <f t="shared" si="0"/>
        <v>6000</v>
      </c>
      <c r="G44" s="4">
        <f t="shared" si="1"/>
        <v>4000</v>
      </c>
      <c r="H44" s="4">
        <f t="shared" si="2"/>
        <v>468000</v>
      </c>
      <c r="I44" s="4">
        <f t="shared" si="3"/>
        <v>156000</v>
      </c>
    </row>
    <row r="45" spans="1:9" x14ac:dyDescent="0.3">
      <c r="A45" s="2">
        <v>44070</v>
      </c>
      <c r="B45" t="s">
        <v>24</v>
      </c>
      <c r="C45" t="s">
        <v>15</v>
      </c>
      <c r="D45" t="s">
        <v>19</v>
      </c>
      <c r="E45" s="3">
        <v>69</v>
      </c>
      <c r="F45" s="4">
        <f t="shared" si="0"/>
        <v>1000</v>
      </c>
      <c r="G45" s="4">
        <f t="shared" si="1"/>
        <v>700</v>
      </c>
      <c r="H45" s="4">
        <f t="shared" si="2"/>
        <v>69000</v>
      </c>
      <c r="I45" s="4">
        <f t="shared" si="3"/>
        <v>20700</v>
      </c>
    </row>
    <row r="46" spans="1:9" x14ac:dyDescent="0.3">
      <c r="A46" s="2">
        <v>44232</v>
      </c>
      <c r="B46" t="s">
        <v>20</v>
      </c>
      <c r="C46" t="s">
        <v>9</v>
      </c>
      <c r="D46" t="s">
        <v>16</v>
      </c>
      <c r="E46" s="3">
        <v>59</v>
      </c>
      <c r="F46" s="4">
        <f t="shared" si="0"/>
        <v>1200</v>
      </c>
      <c r="G46" s="4">
        <f t="shared" si="1"/>
        <v>800</v>
      </c>
      <c r="H46" s="4">
        <f t="shared" si="2"/>
        <v>70800</v>
      </c>
      <c r="I46" s="4">
        <f t="shared" si="3"/>
        <v>23600</v>
      </c>
    </row>
    <row r="47" spans="1:9" x14ac:dyDescent="0.3">
      <c r="A47" s="2">
        <v>44517</v>
      </c>
      <c r="B47" t="s">
        <v>27</v>
      </c>
      <c r="C47" t="s">
        <v>15</v>
      </c>
      <c r="D47" t="s">
        <v>26</v>
      </c>
      <c r="E47" s="3">
        <v>109</v>
      </c>
      <c r="F47" s="4">
        <f t="shared" si="0"/>
        <v>600</v>
      </c>
      <c r="G47" s="4">
        <f t="shared" si="1"/>
        <v>400</v>
      </c>
      <c r="H47" s="4">
        <f t="shared" si="2"/>
        <v>65400</v>
      </c>
      <c r="I47" s="4">
        <f t="shared" si="3"/>
        <v>21800</v>
      </c>
    </row>
    <row r="48" spans="1:9" x14ac:dyDescent="0.3">
      <c r="A48" s="2">
        <v>44193</v>
      </c>
      <c r="B48" t="s">
        <v>25</v>
      </c>
      <c r="C48" t="s">
        <v>12</v>
      </c>
      <c r="D48" t="s">
        <v>21</v>
      </c>
      <c r="E48" s="3">
        <v>61</v>
      </c>
      <c r="F48" s="4">
        <f t="shared" si="0"/>
        <v>4000</v>
      </c>
      <c r="G48" s="4">
        <f t="shared" si="1"/>
        <v>3000</v>
      </c>
      <c r="H48" s="4">
        <f t="shared" si="2"/>
        <v>244000</v>
      </c>
      <c r="I48" s="4">
        <f t="shared" si="3"/>
        <v>61000</v>
      </c>
    </row>
    <row r="49" spans="1:9" x14ac:dyDescent="0.3">
      <c r="A49" s="2">
        <v>44496</v>
      </c>
      <c r="B49" t="s">
        <v>20</v>
      </c>
      <c r="C49" t="s">
        <v>18</v>
      </c>
      <c r="D49" t="s">
        <v>26</v>
      </c>
      <c r="E49" s="3">
        <v>130</v>
      </c>
      <c r="F49" s="4">
        <f t="shared" si="0"/>
        <v>600</v>
      </c>
      <c r="G49" s="4">
        <f t="shared" si="1"/>
        <v>400</v>
      </c>
      <c r="H49" s="4">
        <f t="shared" si="2"/>
        <v>78000</v>
      </c>
      <c r="I49" s="4">
        <f t="shared" si="3"/>
        <v>26000</v>
      </c>
    </row>
    <row r="50" spans="1:9" x14ac:dyDescent="0.3">
      <c r="A50" s="2">
        <v>44502</v>
      </c>
      <c r="B50" t="s">
        <v>17</v>
      </c>
      <c r="C50" t="s">
        <v>15</v>
      </c>
      <c r="D50" t="s">
        <v>13</v>
      </c>
      <c r="E50" s="3">
        <v>60</v>
      </c>
      <c r="F50" s="4">
        <f t="shared" si="0"/>
        <v>3500</v>
      </c>
      <c r="G50" s="4">
        <f t="shared" si="1"/>
        <v>2500</v>
      </c>
      <c r="H50" s="4">
        <f t="shared" si="2"/>
        <v>210000</v>
      </c>
      <c r="I50" s="4">
        <f t="shared" si="3"/>
        <v>60000</v>
      </c>
    </row>
    <row r="51" spans="1:9" x14ac:dyDescent="0.3">
      <c r="A51" s="2">
        <v>43958</v>
      </c>
      <c r="B51" t="s">
        <v>11</v>
      </c>
      <c r="C51" t="s">
        <v>12</v>
      </c>
      <c r="D51" t="s">
        <v>10</v>
      </c>
      <c r="E51" s="3">
        <v>73</v>
      </c>
      <c r="F51" s="4">
        <f t="shared" si="0"/>
        <v>6000</v>
      </c>
      <c r="G51" s="4">
        <f t="shared" si="1"/>
        <v>4000</v>
      </c>
      <c r="H51" s="4">
        <f t="shared" si="2"/>
        <v>438000</v>
      </c>
      <c r="I51" s="4">
        <f t="shared" si="3"/>
        <v>146000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SalesData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George Williams</dc:creator>
  <cp:lastModifiedBy>KRISHNA KUMAR</cp:lastModifiedBy>
  <dcterms:created xsi:type="dcterms:W3CDTF">2024-05-30T14:35:02Z</dcterms:created>
  <dcterms:modified xsi:type="dcterms:W3CDTF">2025-02-04T13:22:49Z</dcterms:modified>
</cp:coreProperties>
</file>